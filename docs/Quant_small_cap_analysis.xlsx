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C:\Users\amans\Downloads\"/>
    </mc:Choice>
  </mc:AlternateContent>
  <xr:revisionPtr revIDLastSave="0" documentId="8_{3C335BD2-BF26-4189-B542-97A066CA0126}" xr6:coauthVersionLast="47" xr6:coauthVersionMax="47" xr10:uidLastSave="{00000000-0000-0000-0000-000000000000}"/>
  <bookViews>
    <workbookView xWindow="-110" yWindow="-110" windowWidth="19420" windowHeight="11020" firstSheet="1" activeTab="1" xr2:uid="{B5E83DAC-A145-42F1-B6B7-2A5AFC89C0F6}"/>
  </bookViews>
  <sheets>
    <sheet name="CIQ_LinkingNames" sheetId="3" state="hidden" r:id="rId1"/>
    <sheet name="Analysis" sheetId="7" r:id="rId2"/>
    <sheet name="Holdings" sheetId="11" r:id="rId3"/>
  </sheets>
  <externalReferences>
    <externalReference r:id="rId4"/>
  </externalReference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"08/31/2023 15:55:21"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tc={8D3085B3-C34F-438F-ADBE-663AAF3D320F}</author>
    <author>tc={1624D117-DF96-4859-A346-B56A19234F3F}</author>
    <author>tc={B684E02E-3252-4F58-BA5E-F2EB098FDEE7}</author>
    <author>tc={0C52A73A-F720-410C-BF05-8273CE833E7F}</author>
    <author>tc={F5C27314-6F17-40A8-9EF0-DDB8E9B303E4}</author>
    <author>tc={91E15E0E-4CE9-4C2D-8322-90669B939EE2}</author>
    <author>tc={D65EA787-647E-4225-8E96-E300F0C10C66}</author>
    <author>tc={E96B6765-D7DC-4B04-A9F7-B79B278E9E6F}</author>
    <author>tc={2C71A159-5B6B-4A4E-8A38-DDB46B00B42A}</author>
    <author>tc={7B8480AC-0C93-49C9-B705-94E7871E5673}</author>
    <author>tc={F1235576-F485-4ABB-AB31-19D328350CE9}</author>
    <author>tc={986F3985-33B1-43ED-ADAD-4BE82861A58F}</author>
    <author>tc={3C170AB9-05B2-4CD3-9427-6C5A6CD22F44}</author>
    <author>tc={BE3689E4-4859-4087-AC9D-B51FE4C7A8D9}</author>
    <author>tc={D996E0B3-CF82-4906-9EB4-AE76111FD2D4}</author>
    <author>tc={5179F7BB-B8A9-4FC2-B618-D5960A471330}</author>
    <author>tc={063B6628-361B-4D2D-9437-A746712E1FEE}</author>
    <author>tc={81618873-C196-453B-B696-1D0FFC7F2D21}</author>
    <author>tc={1767FD80-948E-4C9E-915E-D16A4B76D89F}</author>
    <author>tc={FC7DF7B9-F078-4FE0-AEB9-3F97A3FD2800}</author>
    <author>tc={ECDCFA83-DE63-463A-897E-CA63440B3FAC}</author>
    <author>tc={2D725F28-D384-4260-BA5D-2D8E1463D322}</author>
    <author>tc={FF0703C3-FE65-4D2D-8025-90434054C602}</author>
    <author>tc={4CA2BA4F-D009-48B9-862F-078CFC66D609}</author>
  </authors>
  <commentList>
    <comment ref="C7" authorId="0" shapeId="0" xr:uid="{8D3085B3-C34F-438F-ADBE-663AAF3D320F}">
      <text>
        <t>[Threaded comment]
Your version of Excel allows you to read this threaded comment; however, any edits to it will get removed if the file is opened in a newer version of Excel. Learn more: https://go.microsoft.com/fwlink/?linkid=870924
Comment:
    To ascertain the size of fund as compared to total business of AMC</t>
      </text>
    </comment>
    <comment ref="C8" authorId="1" shapeId="0" xr:uid="{1624D117-DF96-4859-A346-B56A19234F3F}">
      <text>
        <t>[Threaded comment]
Your version of Excel allows you to read this threaded comment; however, any edits to it will get removed if the file is opened in a newer version of Excel. Learn more: https://go.microsoft.com/fwlink/?linkid=870924
Comment:
    Check for any controversy or negative news coverage about Fund/AMC. Check for any SEBI actions on AMC/Funds in Past,</t>
      </text>
    </comment>
    <comment ref="C13" authorId="2" shapeId="0" xr:uid="{B684E02E-3252-4F58-BA5E-F2EB098FDEE7}">
      <text>
        <t>[Threaded comment]
Your version of Excel allows you to read this threaded comment; however, any edits to it will get removed if the file is opened in a newer version of Excel. Learn more: https://go.microsoft.com/fwlink/?linkid=870924
Comment:
    Includes all fees associated with the fund, including management fees and other expenses, to ensure they are competitive and justified by the fund's performance and services.</t>
      </text>
    </comment>
    <comment ref="C16" authorId="3" shapeId="0" xr:uid="{0C52A73A-F720-410C-BF05-8273CE833E7F}">
      <text>
        <t>[Threaded comment]
Your version of Excel allows you to read this threaded comment; however, any edits to it will get removed if the file is opened in a newer version of Excel. Learn more: https://go.microsoft.com/fwlink/?linkid=870924
Comment:
    Total experience of manager: The experience is an indicator of the manager's expertise and capability. 
Funds managed currently: Help evaluating the fund manager’s performance across different market cycles. Having too many schemes may dilute focus.
Since how long managing this fund:  This shows the stability of decision maker of the fund.
Track record, qualifications, negative news about manager: It shows how efficiently Fund Manager is managing the money in the said tenure.</t>
      </text>
    </comment>
    <comment ref="F16" authorId="4" shapeId="0" xr:uid="{F5C27314-6F17-40A8-9EF0-DDB8E9B303E4}">
      <text>
        <t>[Threaded comment]
Your version of Excel allows you to read this threaded comment; however, any edits to it will get removed if the file is opened in a newer version of Excel. Learn more: https://go.microsoft.com/fwlink/?linkid=870924
Comment:
    Co manage from 10-May-20</t>
      </text>
    </comment>
    <comment ref="F17" authorId="5" shapeId="0" xr:uid="{91E15E0E-4CE9-4C2D-8322-90669B939EE2}">
      <text>
        <t>[Threaded comment]
Your version of Excel allows you to read this threaded comment; however, any edits to it will get removed if the file is opened in a newer version of Excel. Learn more: https://go.microsoft.com/fwlink/?linkid=870924
Comment:
    Co manage from 3-Oct-19</t>
      </text>
    </comment>
    <comment ref="F18" authorId="6" shapeId="0" xr:uid="{D65EA787-647E-4225-8E96-E300F0C10C66}">
      <text>
        <t>[Threaded comment]
Your version of Excel allows you to read this threaded comment; however, any edits to it will get removed if the file is opened in a newer version of Excel. Learn more: https://go.microsoft.com/fwlink/?linkid=870924
Comment:
    Co manage 30-Jun-19</t>
      </text>
    </comment>
    <comment ref="F19" authorId="7" shapeId="0" xr:uid="{E96B6765-D7DC-4B04-A9F7-B79B278E9E6F}">
      <text>
        <t>[Threaded comment]
Your version of Excel allows you to read this threaded comment; however, any edits to it will get removed if the file is opened in a newer version of Excel. Learn more: https://go.microsoft.com/fwlink/?linkid=870924
Comment:
    For overseas Investments from 5-Apr-22</t>
      </text>
    </comment>
    <comment ref="C21" authorId="8" shapeId="0" xr:uid="{2C71A159-5B6B-4A4E-8A38-DDB46B00B42A}">
      <text>
        <t>[Threaded comment]
Your version of Excel allows you to read this threaded comment; however, any edits to it will get removed if the file is opened in a newer version of Excel. Learn more: https://go.microsoft.com/fwlink/?linkid=870924
Comment:
    Understand the key principles basis which Managers are investing funds.</t>
      </text>
    </comment>
    <comment ref="F21" authorId="9" shapeId="0" xr:uid="{7B8480AC-0C93-49C9-B705-94E7871E5673}">
      <text>
        <t>[Threaded comment]
Your version of Excel allows you to read this threaded comment; however, any edits to it will get removed if the file is opened in a newer version of Excel. Learn more: https://go.microsoft.com/fwlink/?linkid=870924
Comment:
    Go through MFs Factsheet.</t>
      </text>
    </comment>
    <comment ref="H26" authorId="10" shapeId="0" xr:uid="{F1235576-F485-4ABB-AB31-19D328350CE9}">
      <text>
        <t>[Threaded comment]
Your version of Excel allows you to read this threaded comment; however, any edits to it will get removed if the file is opened in a newer version of Excel. Learn more: https://go.microsoft.com/fwlink/?linkid=870924
Comment:
    *refer to Et-money / rupee-vest for movement of holdings in last 4 quarters/portfolio tracker and holding analysis vs category</t>
      </text>
    </comment>
    <comment ref="H36" authorId="11" shapeId="0" xr:uid="{986F3985-33B1-43ED-ADAD-4BE82861A58F}">
      <text>
        <t>[Threaded comment]
Your version of Excel allows you to read this threaded comment; however, any edits to it will get removed if the file is opened in a newer version of Excel. Learn more: https://go.microsoft.com/fwlink/?linkid=870924
Comment:
    *refer to morning star for portfolio measures and portfolio market cap style measure (more break-up)</t>
      </text>
    </comment>
    <comment ref="C40" authorId="12" shapeId="0" xr:uid="{3C170AB9-05B2-4CD3-9427-6C5A6CD22F44}">
      <text>
        <t>[Threaded comment]
Your version of Excel allows you to read this threaded comment; however, any edits to it will get removed if the file is opened in a newer version of Excel. Learn more: https://go.microsoft.com/fwlink/?linkid=870924
Comment:
    Assesses the fund's sensitivity to movements in its benchmark, providing insight into its market risk.</t>
      </text>
    </comment>
    <comment ref="C42" authorId="13" shapeId="0" xr:uid="{BE3689E4-4859-4087-AC9D-B51FE4C7A8D9}">
      <text>
        <t>[Threaded comment]
Your version of Excel allows you to read this threaded comment; however, any edits to it will get removed if the file is opened in a newer version of Excel. Learn more: https://go.microsoft.com/fwlink/?linkid=870924
Comment:
    It is excess return over risk free rate for per unit of risk, helps in assesing risk-adjusted performance.</t>
      </text>
    </comment>
    <comment ref="C43" authorId="14" shapeId="0" xr:uid="{D996E0B3-CF82-4906-9EB4-AE76111FD2D4}">
      <text>
        <t>[Threaded comment]
Your version of Excel allows you to read this threaded comment; however, any edits to it will get removed if the file is opened in a newer version of Excel. Learn more: https://go.microsoft.com/fwlink/?linkid=870924
Comment:
    Provides a measure of the fund's overall volatility compared to its average returns, indicating the level of risk.</t>
      </text>
    </comment>
    <comment ref="C44" authorId="15" shapeId="0" xr:uid="{5179F7BB-B8A9-4FC2-B618-D5960A471330}">
      <text>
        <t>[Threaded comment]
Your version of Excel allows you to read this threaded comment; however, any edits to it will get removed if the file is opened in a newer version of Excel. Learn more: https://go.microsoft.com/fwlink/?linkid=870924
Comment:
    It is excess return over risk free rate for per unit of DOWNSIDE risk.</t>
      </text>
    </comment>
    <comment ref="H44" authorId="16" shapeId="0" xr:uid="{063B6628-361B-4D2D-9437-A746712E1FEE}">
      <text>
        <t>[Threaded comment]
Your version of Excel allows you to read this threaded comment; however, any edits to it will get removed if the file is opened in a newer version of Excel. Learn more: https://go.microsoft.com/fwlink/?linkid=870924
Comment:
    * peer comparison over returns, expense ratio, AUM, risk metrics, asset allocation breakup, portfolio overlap using ET-money/morning-star/rupee-vest.</t>
      </text>
    </comment>
    <comment ref="C45" authorId="17" shapeId="0" xr:uid="{81618873-C196-453B-B696-1D0FFC7F2D21}">
      <text>
        <t>[Threaded comment]
Your version of Excel allows you to read this threaded comment; however, any edits to it will get removed if the file is opened in a newer version of Excel. Learn more: https://go.microsoft.com/fwlink/?linkid=870924
Comment:
    It helps in evaluation how the fund performs in different upside and downside markets.</t>
      </text>
    </comment>
    <comment ref="H45" authorId="18" shapeId="0" xr:uid="{1767FD80-948E-4C9E-915E-D16A4B76D89F}">
      <text>
        <t>[Threaded comment]
Your version of Excel allows you to read this threaded comment; however, any edits to it will get removed if the file is opened in a newer version of Excel. Learn more: https://go.microsoft.com/fwlink/?linkid=870924
Comment:
    *refer ET-money/Value research for SIP/step-up SIP/Lumpsum calculators. Refer rupee-vest for rolling returns.</t>
      </text>
    </comment>
    <comment ref="C47" authorId="19" shapeId="0" xr:uid="{FC7DF7B9-F078-4FE0-AEB9-3F97A3FD2800}">
      <text>
        <t>[Threaded comment]
Your version of Excel allows you to read this threaded comment; however, any edits to it will get removed if the file is opened in a newer version of Excel. Learn more: https://go.microsoft.com/fwlink/?linkid=870924
Comment:
    Frequency of trading by the fund to understand its impact on brokerage costs and tax efficiency.</t>
      </text>
    </comment>
    <comment ref="C49" authorId="20" shapeId="0" xr:uid="{ECDCFA83-DE63-463A-897E-CA63440B3FAC}">
      <text>
        <t>[Threaded comment]
Your version of Excel allows you to read this threaded comment; however, any edits to it will get removed if the file is opened in a newer version of Excel. Learn more: https://go.microsoft.com/fwlink/?linkid=870924
Comment:
    Indicates the fund's risk-adjusted performance compared to expected returns based on CAPM.</t>
      </text>
    </comment>
    <comment ref="C50" authorId="21" shapeId="0" xr:uid="{2D725F28-D384-4260-BA5D-2D8E1463D322}">
      <text>
        <t>[Threaded comment]
Your version of Excel allows you to read this threaded comment; however, any edits to it will get removed if the file is opened in a newer version of Excel. Learn more: https://go.microsoft.com/fwlink/?linkid=870924
Comment:
    It is measure of the risk in the fund that is due to active decisions made by the fund Manager.</t>
      </text>
    </comment>
    <comment ref="C51" authorId="22" shapeId="0" xr:uid="{FF0703C3-FE65-4D2D-8025-90434054C602}">
      <text>
        <t>[Threaded comment]
Your version of Excel allows you to read this threaded comment; however, any edits to it will get removed if the file is opened in a newer version of Excel. Learn more: https://go.microsoft.com/fwlink/?linkid=870924
Comment:
    It is measure of the risk in the fund that is due to active decisions made by the fund Manager.</t>
      </text>
    </comment>
    <comment ref="C52" authorId="23" shapeId="0" xr:uid="{4CA2BA4F-D009-48B9-862F-078CFC66D609}">
      <text>
        <t>[Threaded comment]
Your version of Excel allows you to read this threaded comment; however, any edits to it will get removed if the file is opened in a newer version of Excel. Learn more: https://go.microsoft.com/fwlink/?linkid=870924
Comment:
    This is the highest fall the fund ever witnessed from its peak. It helps to avoid surpises and panic</t>
      </text>
    </comment>
  </commentList>
</comments>
</file>

<file path=xl/sharedStrings.xml><?xml version="1.0" encoding="utf-8"?>
<sst xmlns="http://schemas.openxmlformats.org/spreadsheetml/2006/main" count="386" uniqueCount="206">
  <si>
    <t>CIQANR_d9c4312932bd40df85a8dc65df5e04b1</t>
  </si>
  <si>
    <t>Fund</t>
  </si>
  <si>
    <t>-</t>
  </si>
  <si>
    <t>Sharpe Ratio</t>
  </si>
  <si>
    <t>Standard Deviation</t>
  </si>
  <si>
    <t>Beta</t>
  </si>
  <si>
    <t>Quant Small Cap Fund</t>
  </si>
  <si>
    <t>Benchmark</t>
  </si>
  <si>
    <t>NIFTY SMALL CAP 250 TRI</t>
  </si>
  <si>
    <t>Investment Objective</t>
  </si>
  <si>
    <t>Fund and Scheme Details</t>
  </si>
  <si>
    <t>Inception date</t>
  </si>
  <si>
    <t>Fund House (AUM)</t>
  </si>
  <si>
    <t>Plan type</t>
  </si>
  <si>
    <t>Asset class</t>
  </si>
  <si>
    <t>Scheme type</t>
  </si>
  <si>
    <t>AUM (Fund House %)</t>
  </si>
  <si>
    <t>Expense ratio</t>
  </si>
  <si>
    <t>Fund Manager(s)</t>
  </si>
  <si>
    <t>Analysis Report (25/06/2024)</t>
  </si>
  <si>
    <t>21242.79 (36%)</t>
  </si>
  <si>
    <t>Quant MF (58934)</t>
  </si>
  <si>
    <t>Equity</t>
  </si>
  <si>
    <t>Small Cap Fund</t>
  </si>
  <si>
    <t>Exit Load</t>
  </si>
  <si>
    <t>within 1 yr.</t>
  </si>
  <si>
    <t>after 1 yr.</t>
  </si>
  <si>
    <t>Nil</t>
  </si>
  <si>
    <t>Direct Growth</t>
  </si>
  <si>
    <t>Mr. Ankit Pande</t>
  </si>
  <si>
    <t>Mr. Sanjeev Sharma</t>
  </si>
  <si>
    <t>Mr. Vasav Sahgal</t>
  </si>
  <si>
    <t>Mr. Chandramouli Alla</t>
  </si>
  <si>
    <t>Investment Philosophy</t>
  </si>
  <si>
    <t>Top 10 HOLDINGS</t>
  </si>
  <si>
    <t>Reliance Industries Ltd.</t>
  </si>
  <si>
    <t>Energy</t>
  </si>
  <si>
    <t>JIO Financial Services Ltd.</t>
  </si>
  <si>
    <t>Financials</t>
  </si>
  <si>
    <t>IRB Infrastructure Developers Ltd.</t>
  </si>
  <si>
    <t>Infrastructure</t>
  </si>
  <si>
    <t>Bikaji Foods International Ltd.</t>
  </si>
  <si>
    <t>FMCG</t>
  </si>
  <si>
    <t>Aegis Logistics Ltd.</t>
  </si>
  <si>
    <t>Logistics</t>
  </si>
  <si>
    <t>Company</t>
  </si>
  <si>
    <t>Sector</t>
  </si>
  <si>
    <t>Housing &amp; Urban Development Corporation Ltd.</t>
  </si>
  <si>
    <t>RBL Bank Ltd.</t>
  </si>
  <si>
    <t>National Aluminium Company Ltd.</t>
  </si>
  <si>
    <t>Metals</t>
  </si>
  <si>
    <t>Arvind Ltd.</t>
  </si>
  <si>
    <t>Textile</t>
  </si>
  <si>
    <t>Adani Power Ltd.</t>
  </si>
  <si>
    <t>Total</t>
  </si>
  <si>
    <t>Top 7 Sectors</t>
  </si>
  <si>
    <t>EQUITY</t>
  </si>
  <si>
    <t>Assets%</t>
  </si>
  <si>
    <t>Sectors</t>
  </si>
  <si>
    <t>Sum of Assets%</t>
  </si>
  <si>
    <t>Automobile and Ancillaries</t>
  </si>
  <si>
    <t>Capital Goods</t>
  </si>
  <si>
    <t>Chemicals</t>
  </si>
  <si>
    <t>Construction</t>
  </si>
  <si>
    <t>HDFC Bank Ltd.</t>
  </si>
  <si>
    <t>Consumer Durables</t>
  </si>
  <si>
    <t>Healthcare</t>
  </si>
  <si>
    <t>Anand Rathi Wealth Ltd.</t>
  </si>
  <si>
    <t>Diversified</t>
  </si>
  <si>
    <t>HFCL Ltd.</t>
  </si>
  <si>
    <t>Media and Communications</t>
  </si>
  <si>
    <t>HEG Ltd.</t>
  </si>
  <si>
    <t>Keystone Realtors Ltd</t>
  </si>
  <si>
    <t>Shipping Corporation Of India Ltd.</t>
  </si>
  <si>
    <t>Life Insurance Corporation of India</t>
  </si>
  <si>
    <t>Orchid Pharma Ltd.</t>
  </si>
  <si>
    <t>Railtel Corporation Of India Ltd.</t>
  </si>
  <si>
    <t>Poly Medicure Ltd.</t>
  </si>
  <si>
    <t>Miscellaneous</t>
  </si>
  <si>
    <t>The Karnataka Bank Ltd.</t>
  </si>
  <si>
    <t>Usha Martin Ltd.</t>
  </si>
  <si>
    <t>Retail and Other Services</t>
  </si>
  <si>
    <t>Just Dial Ltd.</t>
  </si>
  <si>
    <t>Technology</t>
  </si>
  <si>
    <t>Minda Corporation Ltd.</t>
  </si>
  <si>
    <t>Tata Consultancy Services Ltd.</t>
  </si>
  <si>
    <t>Travel</t>
  </si>
  <si>
    <t>Engineers India Ltd.</t>
  </si>
  <si>
    <t>Grand Total</t>
  </si>
  <si>
    <t>Graphite India Ltd.</t>
  </si>
  <si>
    <t>Aditya Birla Fashion and Retail Ltd.</t>
  </si>
  <si>
    <t>Strides Pharma Science Ltd.</t>
  </si>
  <si>
    <t>NLC India Ltd.</t>
  </si>
  <si>
    <t>Sula Vineyards Ltd.</t>
  </si>
  <si>
    <t>Jubilant Pharmova Ltd.</t>
  </si>
  <si>
    <t>E.I.D. - Parry (India) Ltd.</t>
  </si>
  <si>
    <t>Balrampur Chini Mills Ltd.</t>
  </si>
  <si>
    <t>Anupam Rasayan India Ltd.</t>
  </si>
  <si>
    <t>Jindal Steel &amp; Power Ltd.</t>
  </si>
  <si>
    <t>TV18 Broadcast Ltd.</t>
  </si>
  <si>
    <t>India Shelter Finance Corporation Ltd.</t>
  </si>
  <si>
    <t>Restaurant Brands Asia Ltd.</t>
  </si>
  <si>
    <t>Juniper Hotels Ltd.</t>
  </si>
  <si>
    <t>Indian Railway Finance Corporation Ltd.</t>
  </si>
  <si>
    <t>JM Financial Ltd.</t>
  </si>
  <si>
    <t>Indoco Remedies Ltd.</t>
  </si>
  <si>
    <t>Sequent Scientific Ltd.</t>
  </si>
  <si>
    <t>Man InfraConstruction Ltd.</t>
  </si>
  <si>
    <t>BLS International Services Ltd.</t>
  </si>
  <si>
    <t>Garware Hi-Tech Films Ltd.</t>
  </si>
  <si>
    <t>TVS Srichakra Ltd.</t>
  </si>
  <si>
    <t>Himadri Speciality Chemical Ltd.</t>
  </si>
  <si>
    <t>Jash Engineering Ltd.</t>
  </si>
  <si>
    <t>Vishnu Prakash R Punglia Ltd.</t>
  </si>
  <si>
    <t>Nitin Spinners Ltd.</t>
  </si>
  <si>
    <t>Maharashtra Seamless Ltd.</t>
  </si>
  <si>
    <t>Jana Small Finance Bank Ltd.</t>
  </si>
  <si>
    <t>KNR Constructions Ltd.</t>
  </si>
  <si>
    <t>Rishabh Instruments Ltd.</t>
  </si>
  <si>
    <t>Gujarat State Fertilizers &amp; Chemicals Ltd.</t>
  </si>
  <si>
    <t>Exicom Tele-Systems Ltd.</t>
  </si>
  <si>
    <t>Latent View Analytics Ltd.</t>
  </si>
  <si>
    <t>NCC Ltd.</t>
  </si>
  <si>
    <t>Neogen Chemicals Ltd.</t>
  </si>
  <si>
    <t>Granules India Ltd.</t>
  </si>
  <si>
    <t>Apeejay Surrendra Park Hotels Ltd.</t>
  </si>
  <si>
    <t>Sandur Manganese &amp; Iron Ores Ltd.</t>
  </si>
  <si>
    <t>Aarti Pharmalabs Ltd.</t>
  </si>
  <si>
    <t>The Orissa Minerals Development Company Ltd.</t>
  </si>
  <si>
    <t>Gopal Snacks Ltd.</t>
  </si>
  <si>
    <t>Adani Green Energy Ltd.</t>
  </si>
  <si>
    <t>Thyrocare Technologies Ltd.</t>
  </si>
  <si>
    <t>Aarti Industries Ltd.</t>
  </si>
  <si>
    <t>Indraprastha Medical Corporation Ltd.</t>
  </si>
  <si>
    <t>Vardhman Textiles Ltd.</t>
  </si>
  <si>
    <t>Sai Silks (Kalamandir) Ltd.</t>
  </si>
  <si>
    <t>Affle (India) Ltd.</t>
  </si>
  <si>
    <t>HP Adhesives Ltd.</t>
  </si>
  <si>
    <t>Capacit'e Infraprojects Ltd.</t>
  </si>
  <si>
    <t>Prime Securities Ltd.</t>
  </si>
  <si>
    <t>Metropolis Healthcare Ltd.</t>
  </si>
  <si>
    <t>Taj GVK Hotels &amp; Resorts Ltd.</t>
  </si>
  <si>
    <t>EPL Ltd.</t>
  </si>
  <si>
    <t>Best Agrolife Ltd.</t>
  </si>
  <si>
    <t>Birla Corporation Ltd.</t>
  </si>
  <si>
    <t>Pix Transmissions Ltd.</t>
  </si>
  <si>
    <t>Oriental Hotels Ltd.</t>
  </si>
  <si>
    <t>Indian Hume Pipe Company Ltd.</t>
  </si>
  <si>
    <t>Rain Industries Ltd.</t>
  </si>
  <si>
    <t>ICRA Ltd.</t>
  </si>
  <si>
    <t>Primo Chemicals Ltd.</t>
  </si>
  <si>
    <t>Vimta Labs Ltd.</t>
  </si>
  <si>
    <t>Confidence Petroleum India Ltd.</t>
  </si>
  <si>
    <t>DEBT</t>
  </si>
  <si>
    <t>Instrument</t>
  </si>
  <si>
    <t>Asset Type</t>
  </si>
  <si>
    <t>Rating</t>
  </si>
  <si>
    <t>Assets&amp;nbsp;%</t>
  </si>
  <si>
    <t>91 Days Treasury Bill - 04-Jul-2024</t>
  </si>
  <si>
    <t>Treasury Bills</t>
  </si>
  <si>
    <t>Sov</t>
  </si>
  <si>
    <t>91 Days Treasury Bill - 20-Jun-2024</t>
  </si>
  <si>
    <t>MISCELLANEOUS</t>
  </si>
  <si>
    <t>Derivatives-Futures</t>
  </si>
  <si>
    <t>Chambal Fertilisers and Chemicals Ltd.</t>
  </si>
  <si>
    <t>Quant Gilt Fund(G)-Direct Plan</t>
  </si>
  <si>
    <t>Domestic Mutual Funds Units</t>
  </si>
  <si>
    <t>CASH</t>
  </si>
  <si>
    <t>Tri-Party Repo (TREPS)</t>
  </si>
  <si>
    <t>Net Current Asset</t>
  </si>
  <si>
    <r>
      <rPr>
        <b/>
        <sz val="13"/>
        <color theme="1"/>
        <rFont val="Aptos Narrow"/>
        <family val="2"/>
        <scheme val="minor"/>
      </rPr>
      <t xml:space="preserve">Disclaimer </t>
    </r>
    <r>
      <rPr>
        <sz val="11"/>
        <color theme="1"/>
        <rFont val="Calibri"/>
        <family val="2"/>
      </rPr>
      <t xml:space="preserve">-   All necessary precautions have been taken to avoid any error </t>
    </r>
  </si>
  <si>
    <t xml:space="preserve"> lapse or insufficiency in preparing this report ; however ; no representations </t>
  </si>
  <si>
    <t xml:space="preserve"> or warranties are made (express or implied) as to the reliability </t>
  </si>
  <si>
    <t xml:space="preserve"> accuracy or completeness of such information. The Company cannot </t>
  </si>
  <si>
    <t>be held liable for the contents of this report or for any action taken on its basis.</t>
  </si>
  <si>
    <t>Holding Details</t>
  </si>
  <si>
    <t>ASSET ALLOCATION</t>
  </si>
  <si>
    <t>Sectoral Allocation</t>
  </si>
  <si>
    <t>Asset Allocation</t>
  </si>
  <si>
    <t>Risk Details</t>
  </si>
  <si>
    <t>Returns Details</t>
  </si>
  <si>
    <t>Trailing</t>
  </si>
  <si>
    <t>Category</t>
  </si>
  <si>
    <t>Alpha</t>
  </si>
  <si>
    <t>R^2</t>
  </si>
  <si>
    <t>Tenure</t>
  </si>
  <si>
    <t>since inception</t>
  </si>
  <si>
    <t>Sortino</t>
  </si>
  <si>
    <t>Debt Fund Special</t>
  </si>
  <si>
    <t>Risk matrix</t>
  </si>
  <si>
    <t>Coupon rate</t>
  </si>
  <si>
    <t>Macaulay duration of Bond</t>
  </si>
  <si>
    <t>Modified duration of Bond</t>
  </si>
  <si>
    <t>Yield to Maturity</t>
  </si>
  <si>
    <t>Average Maturity</t>
  </si>
  <si>
    <t>*refer morning star for riskometer/risk-return analysis</t>
  </si>
  <si>
    <t>Portfolo Turnover</t>
  </si>
  <si>
    <t>Treynor</t>
  </si>
  <si>
    <t>Jension's Alpha</t>
  </si>
  <si>
    <t xml:space="preserve">Information </t>
  </si>
  <si>
    <t>Tracking error</t>
  </si>
  <si>
    <t>Capture(U)</t>
  </si>
  <si>
    <t>Capture(D)</t>
  </si>
  <si>
    <t>Max Drawdown</t>
  </si>
  <si>
    <t xml:space="preserve">Disclaimer: This is not an investment advice, nor the creator is SEBI registered.  </t>
  </si>
  <si>
    <t>10,000 SIP over 10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</si>
</sst>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font>
    <font>
      <sz val="11"/>
      <color theme="1"/>
      <name val="Aptos Narrow"/>
      <family val="2"/>
      <scheme val="minor"/>
    </font>
    <font>
      <b/>
      <sz val="11"/>
      <color theme="1"/>
      <name val="Aptos Narrow"/>
      <family val="2"/>
      <scheme val="minor"/>
    </font>
    <font>
      <sz val="11"/>
      <color theme="1"/>
      <name val="Constantia"/>
      <family val="1"/>
    </font>
    <font>
      <b/>
      <sz val="14"/>
      <color theme="1"/>
      <name val="Constantia"/>
      <family val="1"/>
    </font>
    <font>
      <sz val="8"/>
      <color theme="1"/>
      <name val="Constantia"/>
      <family val="1"/>
    </font>
    <font>
      <sz val="8"/>
      <color theme="0" tint="-0.499984740745262"/>
      <name val="Constantia"/>
      <family val="1"/>
    </font>
    <font>
      <sz val="11"/>
      <color indexed="8"/>
      <name val="Calibri"/>
      <family val="2"/>
    </font>
    <font>
      <sz val="9"/>
      <color indexed="81"/>
      <name val="Tahoma"/>
      <family val="2"/>
    </font>
    <font>
      <sz val="8"/>
      <color theme="1" tint="0.34998626667073579"/>
      <name val="Constantia"/>
      <family val="1"/>
    </font>
    <font>
      <u/>
      <sz val="9"/>
      <color theme="1"/>
      <name val="Constantia"/>
      <family val="1"/>
    </font>
    <font>
      <sz val="12"/>
      <color theme="1"/>
      <name val="Aptos Narrow"/>
      <family val="2"/>
      <scheme val="minor"/>
    </font>
    <font>
      <sz val="11"/>
      <color theme="0"/>
      <name val="Arial Black"/>
      <family val="2"/>
    </font>
    <font>
      <b/>
      <sz val="13"/>
      <color theme="1"/>
      <name val="Aptos Narrow"/>
      <family val="2"/>
      <scheme val="minor"/>
    </font>
    <font>
      <b/>
      <sz val="14"/>
      <color theme="0"/>
      <name val="Constantia"/>
      <family val="1"/>
    </font>
    <font>
      <sz val="8"/>
      <color rgb="FF212529"/>
      <name val="Arial"/>
      <family val="2"/>
    </font>
    <font>
      <u/>
      <sz val="10"/>
      <color theme="1"/>
      <name val="Constantia"/>
      <family val="1"/>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3" tint="0.79998168889431442"/>
        <bgColor indexed="64"/>
      </patternFill>
    </fill>
    <fill>
      <patternFill patternType="solid">
        <fgColor rgb="FFFAFAFA"/>
        <bgColor indexed="64"/>
      </patternFill>
    </fill>
  </fills>
  <borders count="13">
    <border>
      <left/>
      <right/>
      <top/>
      <bottom/>
      <diagonal/>
    </border>
    <border>
      <left/>
      <right style="thin">
        <color theme="6" tint="0.39994506668294322"/>
      </right>
      <top/>
      <bottom/>
      <diagonal/>
    </border>
    <border>
      <left style="thin">
        <color theme="6" tint="0.39994506668294322"/>
      </left>
      <right/>
      <top/>
      <bottom/>
      <diagonal/>
    </border>
    <border>
      <left/>
      <right/>
      <top/>
      <bottom style="dashDotDot">
        <color theme="0" tint="-0.14996795556505021"/>
      </bottom>
      <diagonal/>
    </border>
    <border>
      <left/>
      <right/>
      <top style="dashDotDot">
        <color theme="0" tint="-0.14996795556505021"/>
      </top>
      <bottom style="dashDotDot">
        <color theme="0" tint="-0.14996795556505021"/>
      </bottom>
      <diagonal/>
    </border>
    <border>
      <left/>
      <right/>
      <top style="dashDotDot">
        <color theme="0" tint="-0.14996795556505021"/>
      </top>
      <bottom/>
      <diagonal/>
    </border>
    <border>
      <left/>
      <right style="thin">
        <color theme="6" tint="0.39994506668294322"/>
      </right>
      <top style="thin">
        <color theme="6" tint="0.39994506668294322"/>
      </top>
      <bottom style="thin">
        <color theme="6" tint="0.39991454817346722"/>
      </bottom>
      <diagonal/>
    </border>
    <border>
      <left/>
      <right/>
      <top style="thin">
        <color theme="6" tint="0.39994506668294322"/>
      </top>
      <bottom style="thin">
        <color theme="6" tint="0.39991454817346722"/>
      </bottom>
      <diagonal/>
    </border>
    <border>
      <left style="thin">
        <color theme="5" tint="0.39994506668294322"/>
      </left>
      <right/>
      <top style="thin">
        <color theme="5" tint="0.39994506668294322"/>
      </top>
      <bottom style="thin">
        <color theme="5" tint="0.39991454817346722"/>
      </bottom>
      <diagonal/>
    </border>
    <border>
      <left/>
      <right/>
      <top style="thin">
        <color theme="5" tint="0.39994506668294322"/>
      </top>
      <bottom style="thin">
        <color theme="5" tint="0.39991454817346722"/>
      </bottom>
      <diagonal/>
    </border>
    <border>
      <left/>
      <right/>
      <top/>
      <bottom style="thin">
        <color theme="4" tint="0.39997558519241921"/>
      </bottom>
      <diagonal/>
    </border>
    <border>
      <left style="medium">
        <color rgb="FFDEE2E6"/>
      </left>
      <right style="medium">
        <color rgb="FFDEE2E6"/>
      </right>
      <top style="medium">
        <color rgb="FFDEE2E6"/>
      </top>
      <bottom style="medium">
        <color rgb="FFDEE2E6"/>
      </bottom>
      <diagonal/>
    </border>
    <border>
      <left/>
      <right/>
      <top style="thin">
        <color auto="1"/>
      </top>
      <bottom/>
      <diagonal/>
    </border>
  </borders>
  <cellStyleXfs count="3">
    <xf numFmtId="0" fontId="0" fillId="0" borderId="0"/>
    <xf numFmtId="0" fontId="1" fillId="0" borderId="0"/>
    <xf numFmtId="0" fontId="7" fillId="0" borderId="0"/>
  </cellStyleXfs>
  <cellXfs count="57">
    <xf numFmtId="0" fontId="0" fillId="0" borderId="0" xfId="0"/>
    <xf numFmtId="22" fontId="0" fillId="0" borderId="0" xfId="0" applyNumberFormat="1"/>
    <xf numFmtId="0" fontId="3" fillId="0" borderId="0" xfId="0" applyFont="1"/>
    <xf numFmtId="0" fontId="3" fillId="3" borderId="0" xfId="0" applyFont="1" applyFill="1"/>
    <xf numFmtId="0" fontId="3" fillId="4" borderId="0" xfId="0" applyFont="1" applyFill="1"/>
    <xf numFmtId="0" fontId="3" fillId="0" borderId="0" xfId="0" applyFont="1" applyAlignment="1">
      <alignment vertical="center"/>
    </xf>
    <xf numFmtId="0" fontId="3" fillId="0" borderId="1" xfId="0" applyFont="1" applyBorder="1"/>
    <xf numFmtId="0" fontId="3" fillId="3" borderId="2" xfId="0" applyFont="1" applyFill="1" applyBorder="1"/>
    <xf numFmtId="0" fontId="6" fillId="0" borderId="0" xfId="0" applyFont="1"/>
    <xf numFmtId="0" fontId="6" fillId="0" borderId="3" xfId="0" applyFont="1" applyBorder="1"/>
    <xf numFmtId="0" fontId="3" fillId="0" borderId="3" xfId="0" applyFont="1" applyBorder="1"/>
    <xf numFmtId="0" fontId="6" fillId="0" borderId="4" xfId="0" applyFont="1" applyBorder="1"/>
    <xf numFmtId="0" fontId="3" fillId="0" borderId="4" xfId="0" applyFont="1" applyBorder="1"/>
    <xf numFmtId="0" fontId="6" fillId="0" borderId="3" xfId="0" applyFont="1" applyBorder="1" applyAlignment="1">
      <alignment horizontal="right" vertical="center"/>
    </xf>
    <xf numFmtId="14" fontId="9" fillId="0" borderId="3" xfId="0" applyNumberFormat="1" applyFont="1" applyBorder="1" applyAlignment="1">
      <alignment horizontal="right" vertical="center"/>
    </xf>
    <xf numFmtId="2" fontId="9" fillId="0" borderId="3" xfId="0" applyNumberFormat="1" applyFont="1" applyBorder="1" applyAlignment="1">
      <alignment horizontal="right" vertical="center"/>
    </xf>
    <xf numFmtId="0" fontId="9" fillId="0" borderId="3" xfId="0" applyFont="1" applyBorder="1" applyAlignment="1">
      <alignment horizontal="right" vertical="center"/>
    </xf>
    <xf numFmtId="10" fontId="9" fillId="0" borderId="3" xfId="0" applyNumberFormat="1" applyFont="1" applyBorder="1" applyAlignment="1">
      <alignment horizontal="right" vertical="center"/>
    </xf>
    <xf numFmtId="0" fontId="3" fillId="5" borderId="0" xfId="0" applyFont="1" applyFill="1"/>
    <xf numFmtId="0" fontId="3" fillId="2" borderId="0" xfId="0" applyFont="1" applyFill="1"/>
    <xf numFmtId="0" fontId="6" fillId="2" borderId="0" xfId="0" applyFont="1" applyFill="1"/>
    <xf numFmtId="10" fontId="6" fillId="2" borderId="0" xfId="0" applyNumberFormat="1" applyFont="1" applyFill="1"/>
    <xf numFmtId="10" fontId="6" fillId="0" borderId="0" xfId="0" applyNumberFormat="1" applyFont="1"/>
    <xf numFmtId="0" fontId="11" fillId="6" borderId="0" xfId="0" applyFont="1" applyFill="1"/>
    <xf numFmtId="0" fontId="11" fillId="3" borderId="0" xfId="0" applyFont="1" applyFill="1"/>
    <xf numFmtId="0" fontId="12" fillId="7" borderId="0" xfId="0" applyFont="1" applyFill="1"/>
    <xf numFmtId="0" fontId="12" fillId="3" borderId="0" xfId="0" applyFont="1" applyFill="1"/>
    <xf numFmtId="0" fontId="0" fillId="0" borderId="0" xfId="0" applyAlignment="1">
      <alignment horizontal="left"/>
    </xf>
    <xf numFmtId="0" fontId="2" fillId="8" borderId="10" xfId="0" applyFont="1" applyFill="1" applyBorder="1"/>
    <xf numFmtId="0" fontId="0" fillId="9" borderId="0" xfId="0" applyFill="1"/>
    <xf numFmtId="0" fontId="0" fillId="6" borderId="0" xfId="0" applyFill="1"/>
    <xf numFmtId="0" fontId="0" fillId="0" borderId="0" xfId="0" pivotButton="1"/>
    <xf numFmtId="0" fontId="0" fillId="10" borderId="0" xfId="0" applyFill="1"/>
    <xf numFmtId="0" fontId="15" fillId="11" borderId="11" xfId="0" applyFont="1" applyFill="1" applyBorder="1" applyAlignment="1">
      <alignment vertical="top" wrapText="1"/>
    </xf>
    <xf numFmtId="0" fontId="9" fillId="11" borderId="11" xfId="0" applyFont="1" applyFill="1" applyBorder="1" applyAlignment="1">
      <alignment vertical="top" wrapText="1"/>
    </xf>
    <xf numFmtId="0" fontId="9" fillId="11" borderId="11" xfId="0" applyFont="1" applyFill="1" applyBorder="1" applyAlignment="1">
      <alignment horizontal="right" vertical="top" wrapText="1"/>
    </xf>
    <xf numFmtId="0" fontId="5" fillId="0" borderId="4" xfId="0" applyFont="1" applyBorder="1"/>
    <xf numFmtId="0" fontId="3" fillId="2" borderId="4" xfId="0" applyFont="1" applyFill="1" applyBorder="1"/>
    <xf numFmtId="0" fontId="3" fillId="2" borderId="2" xfId="0" applyFont="1" applyFill="1" applyBorder="1"/>
    <xf numFmtId="0" fontId="3" fillId="2" borderId="0" xfId="0" applyFont="1" applyFill="1" applyAlignment="1">
      <alignment vertical="center"/>
    </xf>
    <xf numFmtId="0" fontId="3" fillId="0" borderId="4" xfId="0" applyFont="1" applyBorder="1" applyAlignment="1">
      <alignment horizontal="right" vertical="center"/>
    </xf>
    <xf numFmtId="0" fontId="3" fillId="2" borderId="1" xfId="0" applyFont="1" applyFill="1" applyBorder="1"/>
    <xf numFmtId="0" fontId="4" fillId="7" borderId="0" xfId="0" applyFont="1" applyFill="1"/>
    <xf numFmtId="0" fontId="3" fillId="7" borderId="0" xfId="0" applyFont="1" applyFill="1"/>
    <xf numFmtId="0" fontId="10" fillId="0" borderId="0" xfId="0" applyFont="1" applyAlignment="1">
      <alignment horizontal="center"/>
    </xf>
    <xf numFmtId="0" fontId="3" fillId="0" borderId="7" xfId="0" applyFont="1" applyBorder="1" applyAlignment="1">
      <alignment horizontal="center"/>
    </xf>
    <xf numFmtId="0" fontId="3" fillId="0" borderId="6" xfId="0" applyFont="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left" vertical="top"/>
    </xf>
    <xf numFmtId="0" fontId="3" fillId="0" borderId="0" xfId="0" applyFont="1" applyAlignment="1">
      <alignment horizontal="left" vertical="top"/>
    </xf>
    <xf numFmtId="0" fontId="14" fillId="7" borderId="0" xfId="0" applyFont="1" applyFill="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5" fillId="0" borderId="12" xfId="0" applyFont="1" applyBorder="1" applyAlignment="1">
      <alignment horizontal="center" vertical="center"/>
    </xf>
    <xf numFmtId="0" fontId="16" fillId="0" borderId="4" xfId="0" applyFont="1" applyBorder="1"/>
    <xf numFmtId="0" fontId="5" fillId="0" borderId="0" xfId="0" applyFont="1" applyAlignment="1">
      <alignment horizontal="center" vertical="center"/>
    </xf>
  </cellXfs>
  <cellStyles count="3">
    <cellStyle name="Normal" xfId="0" builtinId="0"/>
    <cellStyle name="Normal 2" xfId="2" xr:uid="{5E12AB44-36AB-4C65-8ABD-B286AB2FF3E6}"/>
    <cellStyle name="Normal 3" xfId="1" xr:uid="{7DC9DE17-87F4-49D2-9271-D9F594F8B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63953731655558E-2"/>
          <c:y val="0.12209562382473046"/>
          <c:w val="0.55152862878719944"/>
          <c:h val="0.76994036028618162"/>
        </c:manualLayout>
      </c:layout>
      <c:doughnutChart>
        <c:varyColors val="1"/>
        <c:ser>
          <c:idx val="0"/>
          <c:order val="0"/>
          <c:tx>
            <c:strRef>
              <c:f>[1]portfolio_holdings!$L$11</c:f>
              <c:strCache>
                <c:ptCount val="1"/>
                <c:pt idx="0">
                  <c:v>Sum of Assets%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94-4F27-8632-EE8976047D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94-4F27-8632-EE8976047D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94-4F27-8632-EE8976047D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94-4F27-8632-EE8976047D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94-4F27-8632-EE8976047D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94-4F27-8632-EE8976047D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94-4F27-8632-EE8976047D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noFill/>
                    </a:ln>
                    <a:solidFill>
                      <a:schemeClr val="bg1">
                        <a:lumMod val="95000"/>
                      </a:schemeClr>
                    </a:solidFill>
                    <a:effectLst>
                      <a:glow rad="12700">
                        <a:schemeClr val="bg1">
                          <a:lumMod val="95000"/>
                          <a:alpha val="99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[1]portfolio_holdings!$K$12:$K$18</c:f>
              <c:strCache>
                <c:ptCount val="7"/>
                <c:pt idx="0">
                  <c:v>Financials</c:v>
                </c:pt>
                <c:pt idx="1">
                  <c:v>Energy</c:v>
                </c:pt>
                <c:pt idx="2">
                  <c:v>Healthcare</c:v>
                </c:pt>
                <c:pt idx="3">
                  <c:v>FMCG</c:v>
                </c:pt>
                <c:pt idx="4">
                  <c:v>Capital Goods</c:v>
                </c:pt>
                <c:pt idx="5">
                  <c:v>Infrastructure</c:v>
                </c:pt>
                <c:pt idx="6">
                  <c:v>Metals</c:v>
                </c:pt>
              </c:strCache>
            </c:strRef>
          </c:cat>
          <c:val>
            <c:numRef>
              <c:f>[1]portfolio_holdings!$L$12:$L$18</c:f>
              <c:numCache>
                <c:formatCode>General</c:formatCode>
                <c:ptCount val="7"/>
                <c:pt idx="0">
                  <c:v>21.78</c:v>
                </c:pt>
                <c:pt idx="1">
                  <c:v>13.850000000000001</c:v>
                </c:pt>
                <c:pt idx="2">
                  <c:v>7.6</c:v>
                </c:pt>
                <c:pt idx="3">
                  <c:v>6.0399999999999991</c:v>
                </c:pt>
                <c:pt idx="4">
                  <c:v>5.63</c:v>
                </c:pt>
                <c:pt idx="5">
                  <c:v>5.52</c:v>
                </c:pt>
                <c:pt idx="6">
                  <c:v>5.3100000000000005</c:v>
                </c:pt>
              </c:numCache>
            </c:numRef>
          </c:val>
          <c:extLst>
            <c:ext xmlns:c16="http://schemas.microsoft.com/office/drawing/2014/chart" uri="{C3380CC4-5D6E-409C-BE32-E72D297353CC}">
              <c16:uniqueId val="{0000000E-C894-4F27-8632-EE8976047DE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105060226559464"/>
          <c:y val="8.5249741301614501E-2"/>
          <c:w val="0.31321596875591556"/>
          <c:h val="0.8709078366138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20118722579625"/>
          <c:y val="0.12009977952755904"/>
          <c:w val="0.48936438754853723"/>
          <c:h val="0.8558004409448818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48-412F-9A90-74C37B2B1E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48-412F-9A90-74C37B2B1E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48-412F-9A90-74C37B2B1E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48-412F-9A90-74C37B2B1E21}"/>
              </c:ext>
            </c:extLst>
          </c:dPt>
          <c:dLbls>
            <c:dLbl>
              <c:idx val="1"/>
              <c:layout>
                <c:manualLayout>
                  <c:x val="-3.147814564312236E-2"/>
                  <c:y val="4.73885760386390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48-412F-9A90-74C37B2B1E21}"/>
                </c:ext>
              </c:extLst>
            </c:dLbl>
            <c:dLbl>
              <c:idx val="2"/>
              <c:layout>
                <c:manualLayout>
                  <c:x val="-9.2312508051143737E-5"/>
                  <c:y val="-1.36735446230124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48-412F-9A90-74C37B2B1E2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Holdings!$F$87:$F$90</c:f>
              <c:strCache>
                <c:ptCount val="4"/>
                <c:pt idx="0">
                  <c:v>EQUITY</c:v>
                </c:pt>
                <c:pt idx="1">
                  <c:v>DEBT</c:v>
                </c:pt>
                <c:pt idx="2">
                  <c:v>MISCELLANEOUS</c:v>
                </c:pt>
                <c:pt idx="3">
                  <c:v>CASH</c:v>
                </c:pt>
              </c:strCache>
            </c:strRef>
          </c:cat>
          <c:val>
            <c:numRef>
              <c:f>Holdings!$G$87:$G$90</c:f>
              <c:numCache>
                <c:formatCode>General</c:formatCode>
                <c:ptCount val="4"/>
                <c:pt idx="0">
                  <c:v>92.41</c:v>
                </c:pt>
                <c:pt idx="1">
                  <c:v>1.2</c:v>
                </c:pt>
                <c:pt idx="2">
                  <c:v>3.71</c:v>
                </c:pt>
                <c:pt idx="3">
                  <c:v>2.66</c:v>
                </c:pt>
              </c:numCache>
            </c:numRef>
          </c:val>
          <c:extLst>
            <c:ext xmlns:c16="http://schemas.microsoft.com/office/drawing/2014/chart" uri="{C3380CC4-5D6E-409C-BE32-E72D297353CC}">
              <c16:uniqueId val="{00000008-7C48-412F-9A90-74C37B2B1E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870940989145732"/>
          <c:y val="0.21107619730971289"/>
          <c:w val="0.28985080433106886"/>
          <c:h val="0.64846860369536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no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9"/>
              <c:pt idx="0">
                <c:v>Automobile and Ancillaries</c:v>
              </c:pt>
              <c:pt idx="1">
                <c:v>Capital Goods</c:v>
              </c:pt>
              <c:pt idx="2">
                <c:v>Chemicals</c:v>
              </c:pt>
              <c:pt idx="3">
                <c:v>Construction</c:v>
              </c:pt>
              <c:pt idx="4">
                <c:v>Consumer Durables</c:v>
              </c:pt>
              <c:pt idx="5">
                <c:v>Diversified</c:v>
              </c:pt>
              <c:pt idx="6">
                <c:v>Energy</c:v>
              </c:pt>
              <c:pt idx="7">
                <c:v>Financials</c:v>
              </c:pt>
              <c:pt idx="8">
                <c:v>FMCG</c:v>
              </c:pt>
              <c:pt idx="9">
                <c:v>Healthcare</c:v>
              </c:pt>
              <c:pt idx="10">
                <c:v>Infrastructure</c:v>
              </c:pt>
              <c:pt idx="11">
                <c:v>Logistics</c:v>
              </c:pt>
              <c:pt idx="12">
                <c:v>Media and Communications</c:v>
              </c:pt>
              <c:pt idx="13">
                <c:v>Metals</c:v>
              </c:pt>
              <c:pt idx="14">
                <c:v>Miscellaneous</c:v>
              </c:pt>
              <c:pt idx="15">
                <c:v>Retail and Other Services</c:v>
              </c:pt>
              <c:pt idx="16">
                <c:v>Technology</c:v>
              </c:pt>
              <c:pt idx="17">
                <c:v>Textile</c:v>
              </c:pt>
              <c:pt idx="18">
                <c:v>Travel</c:v>
              </c:pt>
            </c:strLit>
          </c:cat>
          <c:val>
            <c:numLit>
              <c:formatCode>General</c:formatCode>
              <c:ptCount val="19"/>
              <c:pt idx="0">
                <c:v>1.92</c:v>
              </c:pt>
              <c:pt idx="1">
                <c:v>5.63</c:v>
              </c:pt>
              <c:pt idx="2">
                <c:v>2.4400000000000004</c:v>
              </c:pt>
              <c:pt idx="3">
                <c:v>2.17</c:v>
              </c:pt>
              <c:pt idx="4">
                <c:v>0.59000000000000008</c:v>
              </c:pt>
              <c:pt idx="5">
                <c:v>0.13</c:v>
              </c:pt>
              <c:pt idx="6">
                <c:v>13.850000000000001</c:v>
              </c:pt>
              <c:pt idx="7">
                <c:v>21.78</c:v>
              </c:pt>
              <c:pt idx="8">
                <c:v>6.0399999999999991</c:v>
              </c:pt>
              <c:pt idx="9">
                <c:v>7.6</c:v>
              </c:pt>
              <c:pt idx="10">
                <c:v>5.52</c:v>
              </c:pt>
              <c:pt idx="11">
                <c:v>5.07</c:v>
              </c:pt>
              <c:pt idx="12">
                <c:v>4.3499999999999996</c:v>
              </c:pt>
              <c:pt idx="13">
                <c:v>5.3100000000000005</c:v>
              </c:pt>
              <c:pt idx="14">
                <c:v>2.2399999999999998</c:v>
              </c:pt>
              <c:pt idx="15">
                <c:v>2.0099999999999998</c:v>
              </c:pt>
              <c:pt idx="16">
                <c:v>1.47</c:v>
              </c:pt>
              <c:pt idx="17">
                <c:v>3.09</c:v>
              </c:pt>
              <c:pt idx="18">
                <c:v>1.2</c:v>
              </c:pt>
            </c:numLit>
          </c:val>
          <c:extLst>
            <c:ext xmlns:c16="http://schemas.microsoft.com/office/drawing/2014/chart" uri="{C3380CC4-5D6E-409C-BE32-E72D297353CC}">
              <c16:uniqueId val="{00000000-CBBC-4028-A620-86C50E326226}"/>
            </c:ext>
          </c:extLst>
        </c:ser>
        <c:dLbls>
          <c:showLegendKey val="0"/>
          <c:showVal val="0"/>
          <c:showCatName val="0"/>
          <c:showSerName val="0"/>
          <c:showPercent val="0"/>
          <c:showBubbleSize val="0"/>
        </c:dLbls>
        <c:gapWidth val="219"/>
        <c:overlap val="-27"/>
        <c:axId val="403932272"/>
        <c:axId val="403933232"/>
      </c:barChart>
      <c:catAx>
        <c:axId val="40393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33232"/>
        <c:crosses val="autoZero"/>
        <c:auto val="1"/>
        <c:lblAlgn val="ctr"/>
        <c:lblOffset val="100"/>
        <c:noMultiLvlLbl val="0"/>
      </c:catAx>
      <c:valAx>
        <c:axId val="40393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a:t>Sum of Assets% (TOP 7)</a:t>
            </a:r>
          </a:p>
        </c:rich>
      </c:tx>
      <c:layout>
        <c:manualLayout>
          <c:xMode val="edge"/>
          <c:yMode val="edge"/>
          <c:x val="0.32759355392181683"/>
          <c:y val="3.6700137481026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685466165066626"/>
          <c:y val="0.20223256761530742"/>
          <c:w val="0.34754352145585549"/>
          <c:h val="0.66934801627810037"/>
        </c:manualLayout>
      </c:layout>
      <c:doughnutChart>
        <c:varyColors val="1"/>
        <c:ser>
          <c:idx val="0"/>
          <c:order val="0"/>
          <c:tx>
            <c:strRef>
              <c:f>[1]portfolio_holdings!$L$11</c:f>
              <c:strCache>
                <c:ptCount val="1"/>
                <c:pt idx="0">
                  <c:v>Sum of Assets%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62-4F19-A5C1-7AE420E4C1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62-4F19-A5C1-7AE420E4C1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62-4F19-A5C1-7AE420E4C1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62-4F19-A5C1-7AE420E4C1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62-4F19-A5C1-7AE420E4C1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62-4F19-A5C1-7AE420E4C1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762-4F19-A5C1-7AE420E4C1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noFill/>
                    </a:ln>
                    <a:solidFill>
                      <a:schemeClr val="bg1">
                        <a:lumMod val="95000"/>
                      </a:schemeClr>
                    </a:solidFill>
                    <a:effectLst>
                      <a:glow rad="12700">
                        <a:schemeClr val="bg1">
                          <a:lumMod val="95000"/>
                          <a:alpha val="99000"/>
                        </a:schemeClr>
                      </a:glow>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[1]portfolio_holdings!$K$12:$K$18</c:f>
              <c:strCache>
                <c:ptCount val="7"/>
                <c:pt idx="0">
                  <c:v>Financials</c:v>
                </c:pt>
                <c:pt idx="1">
                  <c:v>Energy</c:v>
                </c:pt>
                <c:pt idx="2">
                  <c:v>Healthcare</c:v>
                </c:pt>
                <c:pt idx="3">
                  <c:v>FMCG</c:v>
                </c:pt>
                <c:pt idx="4">
                  <c:v>Capital Goods</c:v>
                </c:pt>
                <c:pt idx="5">
                  <c:v>Infrastructure</c:v>
                </c:pt>
                <c:pt idx="6">
                  <c:v>Metals</c:v>
                </c:pt>
              </c:strCache>
            </c:strRef>
          </c:cat>
          <c:val>
            <c:numRef>
              <c:f>[1]portfolio_holdings!$L$12:$L$18</c:f>
              <c:numCache>
                <c:formatCode>General</c:formatCode>
                <c:ptCount val="7"/>
                <c:pt idx="0">
                  <c:v>21.78</c:v>
                </c:pt>
                <c:pt idx="1">
                  <c:v>13.850000000000001</c:v>
                </c:pt>
                <c:pt idx="2">
                  <c:v>7.6</c:v>
                </c:pt>
                <c:pt idx="3">
                  <c:v>6.0399999999999991</c:v>
                </c:pt>
                <c:pt idx="4">
                  <c:v>5.63</c:v>
                </c:pt>
                <c:pt idx="5">
                  <c:v>5.52</c:v>
                </c:pt>
                <c:pt idx="6">
                  <c:v>5.3100000000000005</c:v>
                </c:pt>
              </c:numCache>
            </c:numRef>
          </c:val>
          <c:extLst>
            <c:ext xmlns:c16="http://schemas.microsoft.com/office/drawing/2014/chart" uri="{C3380CC4-5D6E-409C-BE32-E72D297353CC}">
              <c16:uniqueId val="{0000000E-2762-4F19-A5C1-7AE420E4C1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215061643052059"/>
          <c:y val="6.4688688194042568E-2"/>
          <c:w val="0.29534965896673843"/>
          <c:h val="0.93449738237525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20118722579625"/>
          <c:y val="0.12009977952755904"/>
          <c:w val="0.48936438754853723"/>
          <c:h val="0.8558004409448818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820-4C2A-9D4B-A6487330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E820-4C2A-9D4B-A6487330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20-4C2A-9D4B-A6487330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74-4EDD-BCF1-3B4880B04651}"/>
              </c:ext>
            </c:extLst>
          </c:dPt>
          <c:dLbls>
            <c:dLbl>
              <c:idx val="1"/>
              <c:layout>
                <c:manualLayout>
                  <c:x val="-4.8333345340066712E-3"/>
                  <c:y val="3.89069606299212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20-4C2A-9D4B-A6487330185E}"/>
                </c:ext>
              </c:extLst>
            </c:dLbl>
            <c:dLbl>
              <c:idx val="2"/>
              <c:layout>
                <c:manualLayout>
                  <c:x val="1.5894561670184638E-2"/>
                  <c:y val="-1.36738267716535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20-4C2A-9D4B-A6487330185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Holdings!$F$87:$F$90</c:f>
              <c:strCache>
                <c:ptCount val="4"/>
                <c:pt idx="0">
                  <c:v>EQUITY</c:v>
                </c:pt>
                <c:pt idx="1">
                  <c:v>DEBT</c:v>
                </c:pt>
                <c:pt idx="2">
                  <c:v>MISCELLANEOUS</c:v>
                </c:pt>
                <c:pt idx="3">
                  <c:v>CASH</c:v>
                </c:pt>
              </c:strCache>
            </c:strRef>
          </c:cat>
          <c:val>
            <c:numRef>
              <c:f>Holdings!$G$87:$G$90</c:f>
              <c:numCache>
                <c:formatCode>General</c:formatCode>
                <c:ptCount val="4"/>
                <c:pt idx="0">
                  <c:v>92.41</c:v>
                </c:pt>
                <c:pt idx="1">
                  <c:v>1.2</c:v>
                </c:pt>
                <c:pt idx="2">
                  <c:v>3.71</c:v>
                </c:pt>
                <c:pt idx="3">
                  <c:v>2.66</c:v>
                </c:pt>
              </c:numCache>
            </c:numRef>
          </c:val>
          <c:extLst>
            <c:ext xmlns:c16="http://schemas.microsoft.com/office/drawing/2014/chart" uri="{C3380CC4-5D6E-409C-BE32-E72D297353CC}">
              <c16:uniqueId val="{00000000-E820-4C2A-9D4B-A648733018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99518810148731"/>
          <c:y val="0.34374890638670164"/>
          <c:w val="0.28985080433106886"/>
          <c:h val="0.43200302362204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87730</xdr:colOff>
      <xdr:row>21</xdr:row>
      <xdr:rowOff>58485</xdr:rowOff>
    </xdr:from>
    <xdr:to>
      <xdr:col>5</xdr:col>
      <xdr:colOff>605757</xdr:colOff>
      <xdr:row>27</xdr:row>
      <xdr:rowOff>122903</xdr:rowOff>
    </xdr:to>
    <xdr:sp macro="" textlink="">
      <xdr:nvSpPr>
        <xdr:cNvPr id="2" name="TextBox 1">
          <a:extLst>
            <a:ext uri="{FF2B5EF4-FFF2-40B4-BE49-F238E27FC236}">
              <a16:creationId xmlns:a16="http://schemas.microsoft.com/office/drawing/2014/main" id="{ADA222EF-00C6-CBD6-B151-231796515EF4}"/>
            </a:ext>
          </a:extLst>
        </xdr:cNvPr>
        <xdr:cNvSpPr txBox="1"/>
      </xdr:nvSpPr>
      <xdr:spPr>
        <a:xfrm>
          <a:off x="1408940" y="3556106"/>
          <a:ext cx="2458873" cy="1170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HK" sz="800">
              <a:solidFill>
                <a:schemeClr val="tx1">
                  <a:lumMod val="65000"/>
                  <a:lumOff val="35000"/>
                </a:schemeClr>
              </a:solidFill>
              <a:latin typeface="Constantia" panose="02030602050306030303" pitchFamily="18" charset="0"/>
            </a:rPr>
            <a:t>In a rapidly changing world influenced by technology and volatile geopolitics, our investment philosophy centers on active strategies with an absolute objective, ensuring clarity and focus on returns. We prioritize diverse opinions within our framework to uncover all possible opportunities, staying relevant through an unconstrained perspective.</a:t>
          </a:r>
        </a:p>
      </xdr:txBody>
    </xdr:sp>
    <xdr:clientData/>
  </xdr:twoCellAnchor>
  <xdr:twoCellAnchor>
    <xdr:from>
      <xdr:col>1</xdr:col>
      <xdr:colOff>81935</xdr:colOff>
      <xdr:row>29</xdr:row>
      <xdr:rowOff>35847</xdr:rowOff>
    </xdr:from>
    <xdr:to>
      <xdr:col>5</xdr:col>
      <xdr:colOff>599155</xdr:colOff>
      <xdr:row>34</xdr:row>
      <xdr:rowOff>138266</xdr:rowOff>
    </xdr:to>
    <xdr:sp macro="" textlink="">
      <xdr:nvSpPr>
        <xdr:cNvPr id="3" name="TextBox 2">
          <a:extLst>
            <a:ext uri="{FF2B5EF4-FFF2-40B4-BE49-F238E27FC236}">
              <a16:creationId xmlns:a16="http://schemas.microsoft.com/office/drawing/2014/main" id="{D77A4AF7-1653-4636-8A59-15D012864482}"/>
            </a:ext>
          </a:extLst>
        </xdr:cNvPr>
        <xdr:cNvSpPr txBox="1"/>
      </xdr:nvSpPr>
      <xdr:spPr>
        <a:xfrm>
          <a:off x="1403145" y="5008307"/>
          <a:ext cx="2458066" cy="10241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HK" sz="800">
              <a:solidFill>
                <a:schemeClr val="tx1">
                  <a:lumMod val="65000"/>
                  <a:lumOff val="35000"/>
                </a:schemeClr>
              </a:solidFill>
              <a:latin typeface="Constantia" panose="02030602050306030303" pitchFamily="18" charset="0"/>
            </a:rPr>
            <a:t>The primary investment objective of the scheme is to seek to generate capital appreciation &amp; provide long term growth opportunities by investing in a portfolio of Small Cap companies. There is no assurance that the investment objective of the Scheme will be realized. </a:t>
          </a:r>
        </a:p>
      </xdr:txBody>
    </xdr:sp>
    <xdr:clientData/>
  </xdr:twoCellAnchor>
  <xdr:twoCellAnchor>
    <xdr:from>
      <xdr:col>7</xdr:col>
      <xdr:colOff>169750</xdr:colOff>
      <xdr:row>17</xdr:row>
      <xdr:rowOff>83516</xdr:rowOff>
    </xdr:from>
    <xdr:to>
      <xdr:col>11</xdr:col>
      <xdr:colOff>94073</xdr:colOff>
      <xdr:row>25</xdr:row>
      <xdr:rowOff>156790</xdr:rowOff>
    </xdr:to>
    <xdr:graphicFrame macro="">
      <xdr:nvGraphicFramePr>
        <xdr:cNvPr id="4" name="Chart 3">
          <a:extLst>
            <a:ext uri="{FF2B5EF4-FFF2-40B4-BE49-F238E27FC236}">
              <a16:creationId xmlns:a16="http://schemas.microsoft.com/office/drawing/2014/main" id="{EFE9B4D2-D916-4C60-BD0C-7EBF5E752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619321</xdr:colOff>
      <xdr:row>26</xdr:row>
      <xdr:rowOff>148952</xdr:rowOff>
    </xdr:from>
    <xdr:to>
      <xdr:col>10</xdr:col>
      <xdr:colOff>525246</xdr:colOff>
      <xdr:row>35</xdr:row>
      <xdr:rowOff>23518</xdr:rowOff>
    </xdr:to>
    <xdr:graphicFrame macro="">
      <xdr:nvGraphicFramePr>
        <xdr:cNvPr id="5" name="Chart 4">
          <a:extLst>
            <a:ext uri="{FF2B5EF4-FFF2-40B4-BE49-F238E27FC236}">
              <a16:creationId xmlns:a16="http://schemas.microsoft.com/office/drawing/2014/main" id="{F9BA396B-BABD-4125-B1E6-F5AE0C896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52916</xdr:colOff>
      <xdr:row>52</xdr:row>
      <xdr:rowOff>58797</xdr:rowOff>
    </xdr:from>
    <xdr:to>
      <xdr:col>11</xdr:col>
      <xdr:colOff>52915</xdr:colOff>
      <xdr:row>60</xdr:row>
      <xdr:rowOff>109753</xdr:rowOff>
    </xdr:to>
    <xdr:sp macro="" textlink="">
      <xdr:nvSpPr>
        <xdr:cNvPr id="6" name="TextBox 5">
          <a:extLst>
            <a:ext uri="{FF2B5EF4-FFF2-40B4-BE49-F238E27FC236}">
              <a16:creationId xmlns:a16="http://schemas.microsoft.com/office/drawing/2014/main" id="{34B726EF-7781-6357-3923-642E1170F99C}"/>
            </a:ext>
          </a:extLst>
        </xdr:cNvPr>
        <xdr:cNvSpPr txBox="1"/>
      </xdr:nvSpPr>
      <xdr:spPr>
        <a:xfrm>
          <a:off x="3962870" y="9942454"/>
          <a:ext cx="2445925" cy="1509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HK" sz="1100" b="1" u="sng"/>
            <a:t>Overall View</a:t>
          </a:r>
        </a:p>
        <a:p>
          <a:pPr algn="ctr"/>
          <a:endParaRPr lang="en-HK" sz="1100" b="1" u="sng"/>
        </a:p>
        <a:p>
          <a:pPr algn="l"/>
          <a:r>
            <a:rPr lang="en-HK" sz="800"/>
            <a:t>Fund has done exceptionally well in performing against its peers</a:t>
          </a:r>
          <a:r>
            <a:rPr lang="en-HK" sz="800" baseline="0"/>
            <a:t> and benchmark. Though it has the highest risk in the category, it has justifies that risk with its returns. Relatively less AUM than peers gives them a relative advantage to heavily turn there portfolio which can be seen in the turnover ratio which also upbring cost and taxes involved. </a:t>
          </a:r>
          <a:endParaRPr lang="en-HK" sz="800"/>
        </a:p>
      </xdr:txBody>
    </xdr:sp>
    <xdr:clientData/>
  </xdr:twoCellAnchor>
  <xdr:twoCellAnchor editAs="oneCell">
    <xdr:from>
      <xdr:col>7</xdr:col>
      <xdr:colOff>35278</xdr:colOff>
      <xdr:row>45</xdr:row>
      <xdr:rowOff>11759</xdr:rowOff>
    </xdr:from>
    <xdr:to>
      <xdr:col>11</xdr:col>
      <xdr:colOff>52917</xdr:colOff>
      <xdr:row>51</xdr:row>
      <xdr:rowOff>266106</xdr:rowOff>
    </xdr:to>
    <xdr:pic>
      <xdr:nvPicPr>
        <xdr:cNvPr id="8" name="Picture 7">
          <a:extLst>
            <a:ext uri="{FF2B5EF4-FFF2-40B4-BE49-F238E27FC236}">
              <a16:creationId xmlns:a16="http://schemas.microsoft.com/office/drawing/2014/main" id="{D5D898BF-B29F-C2A6-C8B7-F2988F2B5724}"/>
            </a:ext>
          </a:extLst>
        </xdr:cNvPr>
        <xdr:cNvPicPr>
          <a:picLocks noChangeAspect="1"/>
        </xdr:cNvPicPr>
      </xdr:nvPicPr>
      <xdr:blipFill>
        <a:blip xmlns:r="http://schemas.openxmlformats.org/officeDocument/2006/relationships" r:embed="rId3"/>
        <a:stretch>
          <a:fillRect/>
        </a:stretch>
      </xdr:blipFill>
      <xdr:spPr>
        <a:xfrm>
          <a:off x="3945232" y="8249120"/>
          <a:ext cx="2463565" cy="16301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193675</xdr:colOff>
      <xdr:row>29</xdr:row>
      <xdr:rowOff>158750</xdr:rowOff>
    </xdr:from>
    <xdr:to>
      <xdr:col>7</xdr:col>
      <xdr:colOff>596900</xdr:colOff>
      <xdr:row>43</xdr:row>
      <xdr:rowOff>25400</xdr:rowOff>
    </xdr:to>
    <xdr:graphicFrame macro="">
      <xdr:nvGraphicFramePr>
        <xdr:cNvPr id="2" name="Chart 1">
          <a:extLst>
            <a:ext uri="{FF2B5EF4-FFF2-40B4-BE49-F238E27FC236}">
              <a16:creationId xmlns:a16="http://schemas.microsoft.com/office/drawing/2014/main" id="{2FC20D3B-CDEC-42AA-A2BE-A9A4DF4CE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1055779</xdr:colOff>
      <xdr:row>28</xdr:row>
      <xdr:rowOff>35983</xdr:rowOff>
    </xdr:from>
    <xdr:to>
      <xdr:col>10</xdr:col>
      <xdr:colOff>1238250</xdr:colOff>
      <xdr:row>43</xdr:row>
      <xdr:rowOff>42115</xdr:rowOff>
    </xdr:to>
    <xdr:graphicFrame macro="">
      <xdr:nvGraphicFramePr>
        <xdr:cNvPr id="3" name="Chart 2">
          <a:extLst>
            <a:ext uri="{FF2B5EF4-FFF2-40B4-BE49-F238E27FC236}">
              <a16:creationId xmlns:a16="http://schemas.microsoft.com/office/drawing/2014/main" id="{1FC60F54-D0DB-4AA5-8EAB-33CAC3035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92</xdr:row>
      <xdr:rowOff>22225</xdr:rowOff>
    </xdr:from>
    <xdr:to>
      <xdr:col>7</xdr:col>
      <xdr:colOff>82550</xdr:colOff>
      <xdr:row>102</xdr:row>
      <xdr:rowOff>114300</xdr:rowOff>
    </xdr:to>
    <xdr:graphicFrame macro="">
      <xdr:nvGraphicFramePr>
        <xdr:cNvPr id="4" name="Chart 3">
          <a:extLst>
            <a:ext uri="{FF2B5EF4-FFF2-40B4-BE49-F238E27FC236}">
              <a16:creationId xmlns:a16="http://schemas.microsoft.com/office/drawing/2014/main" id="{E713163C-2F18-3581-5373-429C0AB1E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mans\Downloads\portfolio_holdings.csv" TargetMode="External"/><Relationship Id="rId1" Type="http://schemas.openxmlformats.org/officeDocument/2006/relationships/externalLinkPath" Target="portfolio_holding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folio_holdings"/>
    </sheetNames>
    <sheetDataSet>
      <sheetData sheetId="0">
        <row r="11">
          <cell r="L11" t="str">
            <v>Sum of Assets%</v>
          </cell>
        </row>
        <row r="12">
          <cell r="K12" t="str">
            <v>Financials</v>
          </cell>
          <cell r="L12">
            <v>21.78</v>
          </cell>
        </row>
        <row r="13">
          <cell r="K13" t="str">
            <v>Energy</v>
          </cell>
          <cell r="L13">
            <v>13.850000000000001</v>
          </cell>
        </row>
        <row r="14">
          <cell r="K14" t="str">
            <v>Healthcare</v>
          </cell>
          <cell r="L14">
            <v>7.6</v>
          </cell>
        </row>
        <row r="15">
          <cell r="K15" t="str">
            <v>FMCG</v>
          </cell>
          <cell r="L15">
            <v>6.0399999999999991</v>
          </cell>
        </row>
        <row r="16">
          <cell r="K16" t="str">
            <v>Capital Goods</v>
          </cell>
          <cell r="L16">
            <v>5.63</v>
          </cell>
        </row>
        <row r="17">
          <cell r="K17" t="str">
            <v>Infrastructure</v>
          </cell>
          <cell r="L17">
            <v>5.52</v>
          </cell>
        </row>
        <row r="18">
          <cell r="K18" t="str">
            <v>Metals</v>
          </cell>
          <cell r="L18">
            <v>5.3100000000000005</v>
          </cell>
        </row>
      </sheetData>
    </sheetDataSet>
  </externalBook>
</externalLink>
</file>

<file path=xl/persons/person.xml><?xml version="1.0" encoding="utf-8"?>
<personList xmlns="http://schemas.microsoft.com/office/spreadsheetml/2018/threadedcomments" xmlns:x="http://schemas.openxmlformats.org/spreadsheetml/2006/main">
  <person displayName="Aman Singh" id="{2804649D-177F-4F65-A959-B7A2CBC885F3}" userId="706c740d77a199a5" providerId="Windows Liv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portfolio_holding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Singh" refreshedDate="45468.887727893518" createdVersion="8" refreshedVersion="8" minRefreshableVersion="3" recordCount="90" xr:uid="{07FBAE8B-5284-4734-8828-64D1653A3B11}">
  <cacheSource type="worksheet">
    <worksheetSource ref="A3:C93" sheet="portfolio_holdings" r:id="rId2"/>
  </cacheSource>
  <cacheFields count="3">
    <cacheField name="Company" numFmtId="0">
      <sharedItems/>
    </cacheField>
    <cacheField name="Sector" numFmtId="0">
      <sharedItems count="19">
        <s v="Energy"/>
        <s v="Financials"/>
        <s v="Infrastructure"/>
        <s v="FMCG"/>
        <s v="Logistics"/>
        <s v="Metals"/>
        <s v="Textile"/>
        <s v="Media and Communications"/>
        <s v="Capital Goods"/>
        <s v="Construction"/>
        <s v="Healthcare"/>
        <s v="Miscellaneous"/>
        <s v="Automobile and Ancillaries"/>
        <s v="Technology"/>
        <s v="Retail and Other Services"/>
        <s v="Chemicals"/>
        <s v="Travel"/>
        <s v="Consumer Durables"/>
        <s v="Diversified"/>
      </sharedItems>
    </cacheField>
    <cacheField name="Assets&amp;nbsp;%" numFmtId="0">
      <sharedItems containsSemiMixedTypes="0" containsString="0" containsNumber="1" minValue="0.02" maxValue="9.470000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Reliance Industries Ltd."/>
    <x v="0"/>
    <n v="9.4700000000000006"/>
  </r>
  <r>
    <s v="JIO Financial Services Ltd."/>
    <x v="1"/>
    <n v="5.91"/>
  </r>
  <r>
    <s v="IRB Infrastructure Developers Ltd."/>
    <x v="2"/>
    <n v="3.77"/>
  </r>
  <r>
    <s v="Bikaji Foods International Ltd."/>
    <x v="3"/>
    <n v="3.15"/>
  </r>
  <r>
    <s v="Aegis Logistics Ltd."/>
    <x v="4"/>
    <n v="3.12"/>
  </r>
  <r>
    <s v="Housing &amp; Urban Development Corporation Ltd."/>
    <x v="1"/>
    <n v="2.89"/>
  </r>
  <r>
    <s v="RBL Bank Ltd."/>
    <x v="1"/>
    <n v="2.81"/>
  </r>
  <r>
    <s v="National Aluminium Company Ltd."/>
    <x v="5"/>
    <n v="2.73"/>
  </r>
  <r>
    <s v="Arvind Ltd."/>
    <x v="6"/>
    <n v="2.5099999999999998"/>
  </r>
  <r>
    <s v="Adani Power Ltd."/>
    <x v="0"/>
    <n v="2.31"/>
  </r>
  <r>
    <s v="HDFC Bank Ltd."/>
    <x v="1"/>
    <n v="2.2599999999999998"/>
  </r>
  <r>
    <s v="Anand Rathi Wealth Ltd."/>
    <x v="1"/>
    <n v="2.23"/>
  </r>
  <r>
    <s v="HFCL Ltd."/>
    <x v="7"/>
    <n v="2.09"/>
  </r>
  <r>
    <s v="HEG Ltd."/>
    <x v="8"/>
    <n v="2.0099999999999998"/>
  </r>
  <r>
    <s v="Keystone Realtors Ltd"/>
    <x v="9"/>
    <n v="2.0099999999999998"/>
  </r>
  <r>
    <s v="Shipping Corporation Of India Ltd."/>
    <x v="4"/>
    <n v="1.95"/>
  </r>
  <r>
    <s v="Life Insurance Corporation of India"/>
    <x v="1"/>
    <n v="1.69"/>
  </r>
  <r>
    <s v="Orchid Pharma Ltd."/>
    <x v="10"/>
    <n v="1.64"/>
  </r>
  <r>
    <s v="Railtel Corporation Of India Ltd."/>
    <x v="7"/>
    <n v="1.55"/>
  </r>
  <r>
    <s v="Poly Medicure Ltd."/>
    <x v="10"/>
    <n v="1.49"/>
  </r>
  <r>
    <s v="The Karnataka Bank Ltd."/>
    <x v="1"/>
    <n v="1.49"/>
  </r>
  <r>
    <s v="Usha Martin Ltd."/>
    <x v="5"/>
    <n v="1.44"/>
  </r>
  <r>
    <s v="Just Dial Ltd."/>
    <x v="11"/>
    <n v="1.39"/>
  </r>
  <r>
    <s v="Minda Corporation Ltd."/>
    <x v="12"/>
    <n v="1.34"/>
  </r>
  <r>
    <s v="Tata Consultancy Services Ltd."/>
    <x v="13"/>
    <n v="1.31"/>
  </r>
  <r>
    <s v="Engineers India Ltd."/>
    <x v="8"/>
    <n v="1.26"/>
  </r>
  <r>
    <s v="Graphite India Ltd."/>
    <x v="8"/>
    <n v="1.23"/>
  </r>
  <r>
    <s v="Aditya Birla Fashion and Retail Ltd."/>
    <x v="14"/>
    <n v="1.17"/>
  </r>
  <r>
    <s v="Strides Pharma Science Ltd."/>
    <x v="10"/>
    <n v="1.1499999999999999"/>
  </r>
  <r>
    <s v="NLC India Ltd."/>
    <x v="0"/>
    <n v="1.1399999999999999"/>
  </r>
  <r>
    <s v="Sula Vineyards Ltd."/>
    <x v="3"/>
    <n v="1.03"/>
  </r>
  <r>
    <s v="Jubilant Pharmova Ltd."/>
    <x v="10"/>
    <n v="0.99"/>
  </r>
  <r>
    <s v="E.I.D. - Parry (India) Ltd."/>
    <x v="3"/>
    <n v="0.84"/>
  </r>
  <r>
    <s v="Balrampur Chini Mills Ltd."/>
    <x v="3"/>
    <n v="0.75"/>
  </r>
  <r>
    <s v="Anupam Rasayan India Ltd."/>
    <x v="15"/>
    <n v="0.75"/>
  </r>
  <r>
    <s v="Jindal Steel &amp; Power Ltd."/>
    <x v="5"/>
    <n v="0.74"/>
  </r>
  <r>
    <s v="TV18 Broadcast Ltd."/>
    <x v="7"/>
    <n v="0.71"/>
  </r>
  <r>
    <s v="India Shelter Finance Corporation Ltd."/>
    <x v="1"/>
    <n v="0.71"/>
  </r>
  <r>
    <s v="Restaurant Brands Asia Ltd."/>
    <x v="14"/>
    <n v="0.67"/>
  </r>
  <r>
    <s v="Juniper Hotels Ltd."/>
    <x v="16"/>
    <n v="0.66"/>
  </r>
  <r>
    <s v="Indian Railway Finance Corporation Ltd."/>
    <x v="1"/>
    <n v="0.63"/>
  </r>
  <r>
    <s v="JM Financial Ltd."/>
    <x v="1"/>
    <n v="0.62"/>
  </r>
  <r>
    <s v="Indoco Remedies Ltd."/>
    <x v="10"/>
    <n v="0.59"/>
  </r>
  <r>
    <s v="Sequent Scientific Ltd."/>
    <x v="10"/>
    <n v="0.54"/>
  </r>
  <r>
    <s v="Man InfraConstruction Ltd."/>
    <x v="2"/>
    <n v="0.53"/>
  </r>
  <r>
    <s v="BLS International Services Ltd."/>
    <x v="11"/>
    <n v="0.46"/>
  </r>
  <r>
    <s v="Garware Hi-Tech Films Ltd."/>
    <x v="17"/>
    <n v="0.46"/>
  </r>
  <r>
    <s v="TVS Srichakra Ltd."/>
    <x v="12"/>
    <n v="0.45"/>
  </r>
  <r>
    <s v="Himadri Speciality Chemical Ltd."/>
    <x v="15"/>
    <n v="0.44"/>
  </r>
  <r>
    <s v="Jash Engineering Ltd."/>
    <x v="8"/>
    <n v="0.43"/>
  </r>
  <r>
    <s v="Vishnu Prakash R Punglia Ltd."/>
    <x v="2"/>
    <n v="0.42"/>
  </r>
  <r>
    <s v="Nitin Spinners Ltd."/>
    <x v="6"/>
    <n v="0.4"/>
  </r>
  <r>
    <s v="Maharashtra Seamless Ltd."/>
    <x v="5"/>
    <n v="0.4"/>
  </r>
  <r>
    <s v="Jana Small Finance Bank Ltd."/>
    <x v="1"/>
    <n v="0.39"/>
  </r>
  <r>
    <s v="KNR Constructions Ltd."/>
    <x v="2"/>
    <n v="0.39"/>
  </r>
  <r>
    <s v="Rishabh Instruments Ltd."/>
    <x v="8"/>
    <n v="0.38"/>
  </r>
  <r>
    <s v="Gujarat State Fertilizers &amp; Chemicals Ltd."/>
    <x v="15"/>
    <n v="0.37"/>
  </r>
  <r>
    <s v="Exicom Tele-Systems Ltd."/>
    <x v="8"/>
    <n v="0.32"/>
  </r>
  <r>
    <s v="Latent View Analytics Ltd."/>
    <x v="11"/>
    <n v="0.31"/>
  </r>
  <r>
    <s v="NCC Ltd."/>
    <x v="2"/>
    <n v="0.3"/>
  </r>
  <r>
    <s v="Neogen Chemicals Ltd."/>
    <x v="15"/>
    <n v="0.3"/>
  </r>
  <r>
    <s v="Granules India Ltd."/>
    <x v="10"/>
    <n v="0.3"/>
  </r>
  <r>
    <s v="Apeejay Surrendra Park Hotels Ltd."/>
    <x v="16"/>
    <n v="0.3"/>
  </r>
  <r>
    <s v="Sandur Manganese &amp; Iron Ores Ltd."/>
    <x v="0"/>
    <n v="0.3"/>
  </r>
  <r>
    <s v="Aarti Pharmalabs Ltd."/>
    <x v="10"/>
    <n v="0.28000000000000003"/>
  </r>
  <r>
    <s v="The Orissa Minerals Development Company Ltd."/>
    <x v="0"/>
    <n v="0.28000000000000003"/>
  </r>
  <r>
    <s v="Gopal Snacks Ltd."/>
    <x v="3"/>
    <n v="0.27"/>
  </r>
  <r>
    <s v="Adani Green Energy Ltd."/>
    <x v="0"/>
    <n v="0.24"/>
  </r>
  <r>
    <s v="Thyrocare Technologies Ltd."/>
    <x v="10"/>
    <n v="0.21"/>
  </r>
  <r>
    <s v="Aarti Industries Ltd."/>
    <x v="15"/>
    <n v="0.21"/>
  </r>
  <r>
    <s v="Indraprastha Medical Corporation Ltd."/>
    <x v="10"/>
    <n v="0.2"/>
  </r>
  <r>
    <s v="Vardhman Textiles Ltd."/>
    <x v="6"/>
    <n v="0.18"/>
  </r>
  <r>
    <s v="Sai Silks (Kalamandir) Ltd."/>
    <x v="14"/>
    <n v="0.17"/>
  </r>
  <r>
    <s v="Affle (India) Ltd."/>
    <x v="13"/>
    <n v="0.16"/>
  </r>
  <r>
    <s v="HP Adhesives Ltd."/>
    <x v="15"/>
    <n v="0.16"/>
  </r>
  <r>
    <s v="Capacit'e Infraprojects Ltd."/>
    <x v="9"/>
    <n v="0.16"/>
  </r>
  <r>
    <s v="Prime Securities Ltd."/>
    <x v="1"/>
    <n v="0.15"/>
  </r>
  <r>
    <s v="Metropolis Healthcare Ltd."/>
    <x v="10"/>
    <n v="0.14000000000000001"/>
  </r>
  <r>
    <s v="Taj GVK Hotels &amp; Resorts Ltd."/>
    <x v="16"/>
    <n v="0.13"/>
  </r>
  <r>
    <s v="EPL Ltd."/>
    <x v="17"/>
    <n v="0.13"/>
  </r>
  <r>
    <s v="Best Agrolife Ltd."/>
    <x v="15"/>
    <n v="0.13"/>
  </r>
  <r>
    <s v="Birla Corporation Ltd."/>
    <x v="18"/>
    <n v="0.13"/>
  </r>
  <r>
    <s v="Pix Transmissions Ltd."/>
    <x v="12"/>
    <n v="0.13"/>
  </r>
  <r>
    <s v="Oriental Hotels Ltd."/>
    <x v="16"/>
    <n v="0.11"/>
  </r>
  <r>
    <s v="Indian Hume Pipe Company Ltd."/>
    <x v="2"/>
    <n v="0.11"/>
  </r>
  <r>
    <s v="Rain Industries Ltd."/>
    <x v="0"/>
    <n v="0.09"/>
  </r>
  <r>
    <s v="ICRA Ltd."/>
    <x v="11"/>
    <n v="0.08"/>
  </r>
  <r>
    <s v="Primo Chemicals Ltd."/>
    <x v="15"/>
    <n v="0.08"/>
  </r>
  <r>
    <s v="Vimta Labs Ltd."/>
    <x v="10"/>
    <n v="7.0000000000000007E-2"/>
  </r>
  <r>
    <s v="Confidence Petroleum India Ltd."/>
    <x v="0"/>
    <n v="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004E8-59DD-4C11-AAF2-72A30A3551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ectors">
  <location ref="F9:G29" firstHeaderRow="1" firstDataRow="1" firstDataCol="1"/>
  <pivotFields count="3">
    <pivotField showAll="0"/>
    <pivotField axis="axisRow" showAll="0" sortType="ascending">
      <items count="20">
        <item x="12"/>
        <item x="8"/>
        <item x="15"/>
        <item x="9"/>
        <item x="17"/>
        <item x="18"/>
        <item x="0"/>
        <item x="1"/>
        <item x="3"/>
        <item x="10"/>
        <item x="2"/>
        <item x="4"/>
        <item x="7"/>
        <item x="5"/>
        <item x="11"/>
        <item x="14"/>
        <item x="13"/>
        <item x="6"/>
        <item x="16"/>
        <item t="default"/>
      </items>
    </pivotField>
    <pivotField dataField="1"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Asset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 dT="2024-06-26T02:22:03.56" personId="{2804649D-177F-4F65-A959-B7A2CBC885F3}" id="{8D3085B3-C34F-438F-ADBE-663AAF3D320F}">
    <text>To ascertain the size of fund as compared to total business of AMC</text>
  </threadedComment>
  <threadedComment ref="C8" dT="2024-06-26T02:20:41.34" personId="{2804649D-177F-4F65-A959-B7A2CBC885F3}" id="{1624D117-DF96-4859-A346-B56A19234F3F}">
    <text>Check for any controversy or negative news coverage about Fund/AMC. Check for any SEBI actions on AMC/Funds in Past,</text>
  </threadedComment>
  <threadedComment ref="C13" dT="2024-06-26T02:22:20.31" personId="{2804649D-177F-4F65-A959-B7A2CBC885F3}" id="{B684E02E-3252-4F58-BA5E-F2EB098FDEE7}">
    <text>Includes all fees associated with the fund, including management fees and other expenses, to ensure they are competitive and justified by the fund's performance and services.</text>
  </threadedComment>
  <threadedComment ref="C16" dT="2024-06-26T02:26:56.91" personId="{2804649D-177F-4F65-A959-B7A2CBC885F3}" id="{0C52A73A-F720-410C-BF05-8273CE833E7F}">
    <text>Total experience of manager: The experience is an indicator of the manager's expertise and capability. 
Funds managed currently: Help evaluating the fund manager’s performance across different market cycles. Having too many schemes may dilute focus.
Since how long managing this fund:  This shows the stability of decision maker of the fund.
Track record, qualifications, negative news about manager: It shows how efficiently Fund Manager is managing the money in the said tenure.</text>
  </threadedComment>
  <threadedComment ref="F16" dT="2024-06-25T13:55:57.68" personId="{2804649D-177F-4F65-A959-B7A2CBC885F3}" id="{F5C27314-6F17-40A8-9EF0-DDB8E9B303E4}">
    <text>Co manage from 10-May-20</text>
  </threadedComment>
  <threadedComment ref="F17" dT="2024-06-25T13:56:32.20" personId="{2804649D-177F-4F65-A959-B7A2CBC885F3}" id="{91E15E0E-4CE9-4C2D-8322-90669B939EE2}">
    <text>Co manage from 3-Oct-19</text>
  </threadedComment>
  <threadedComment ref="F18" dT="2024-06-25T13:56:52.64" personId="{2804649D-177F-4F65-A959-B7A2CBC885F3}" id="{D65EA787-647E-4225-8E96-E300F0C10C66}">
    <text>Co manage 30-Jun-19</text>
  </threadedComment>
  <threadedComment ref="F19" dT="2024-06-25T13:57:37.36" personId="{2804649D-177F-4F65-A959-B7A2CBC885F3}" id="{E96B6765-D7DC-4B04-A9F7-B79B278E9E6F}">
    <text>For overseas Investments from 5-Apr-22</text>
  </threadedComment>
  <threadedComment ref="C21" dT="2024-06-26T02:20:16.12" personId="{2804649D-177F-4F65-A959-B7A2CBC885F3}" id="{2C71A159-5B6B-4A4E-8A38-DDB46B00B42A}">
    <text>Understand the key principles basis which Managers are investing funds.</text>
  </threadedComment>
  <threadedComment ref="F21" dT="2024-06-25T19:11:49.13" personId="{2804649D-177F-4F65-A959-B7A2CBC885F3}" id="{7B8480AC-0C93-49C9-B705-94E7871E5673}">
    <text>Go through MFs Factsheet.</text>
  </threadedComment>
  <threadedComment ref="H26" dT="2024-06-25T18:52:38.68" personId="{2804649D-177F-4F65-A959-B7A2CBC885F3}" id="{F1235576-F485-4ABB-AB31-19D328350CE9}">
    <text>*refer to Et-money / rupee-vest for movement of holdings in last 4 quarters/portfolio tracker and holding analysis vs category</text>
  </threadedComment>
  <threadedComment ref="H36" dT="2024-06-25T18:53:36.27" personId="{2804649D-177F-4F65-A959-B7A2CBC885F3}" id="{986F3985-33B1-43ED-ADAD-4BE82861A58F}">
    <text>*refer to morning star for portfolio measures and portfolio market cap style measure (more break-up)</text>
  </threadedComment>
  <threadedComment ref="C40" dT="2024-06-26T02:32:22.56" personId="{2804649D-177F-4F65-A959-B7A2CBC885F3}" id="{3C170AB9-05B2-4CD3-9427-6C5A6CD22F44}">
    <text>Assesses the fund's sensitivity to movements in its benchmark, providing insight into its market risk.</text>
  </threadedComment>
  <threadedComment ref="C42" dT="2024-06-26T02:27:33.61" personId="{2804649D-177F-4F65-A959-B7A2CBC885F3}" id="{BE3689E4-4859-4087-AC9D-B51FE4C7A8D9}">
    <text>It is excess return over risk free rate for per unit of risk, helps in assesing risk-adjusted performance.</text>
  </threadedComment>
  <threadedComment ref="C43" dT="2024-06-26T02:32:10.10" personId="{2804649D-177F-4F65-A959-B7A2CBC885F3}" id="{D996E0B3-CF82-4906-9EB4-AE76111FD2D4}">
    <text>Provides a measure of the fund's overall volatility compared to its average returns, indicating the level of risk.</text>
  </threadedComment>
  <threadedComment ref="C44" dT="2024-06-26T02:30:55.64" personId="{2804649D-177F-4F65-A959-B7A2CBC885F3}" id="{5179F7BB-B8A9-4FC2-B618-D5960A471330}">
    <text>It is excess return over risk free rate for per unit of DOWNSIDE risk.</text>
  </threadedComment>
  <threadedComment ref="H44" dT="2024-06-26T02:59:05.31" personId="{2804649D-177F-4F65-A959-B7A2CBC885F3}" id="{063B6628-361B-4D2D-9437-A746712E1FEE}">
    <text>* peer comparison over returns, expense ratio, AUM, risk metrics, asset allocation breakup, portfolio overlap using ET-money/morning-star/rupee-vest.</text>
  </threadedComment>
  <threadedComment ref="C45" dT="2024-06-26T02:28:01.20" personId="{2804649D-177F-4F65-A959-B7A2CBC885F3}" id="{81618873-C196-453B-B696-1D0FFC7F2D21}">
    <text>It helps in evaluation how the fund performs in different upside and downside markets.</text>
  </threadedComment>
  <threadedComment ref="H45" dT="2024-06-26T02:35:07.22" personId="{2804649D-177F-4F65-A959-B7A2CBC885F3}" id="{1767FD80-948E-4C9E-915E-D16A4B76D89F}">
    <text>*refer ET-money/Value research for SIP/step-up SIP/Lumpsum calculators. Refer rupee-vest for rolling returns.</text>
  </threadedComment>
  <threadedComment ref="C47" dT="2024-06-26T02:22:45.13" personId="{2804649D-177F-4F65-A959-B7A2CBC885F3}" id="{FC7DF7B9-F078-4FE0-AEB9-3F97A3FD2800}">
    <text>Frequency of trading by the fund to understand its impact on brokerage costs and tax efficiency.</text>
  </threadedComment>
  <threadedComment ref="C49" dT="2024-06-26T02:31:57.58" personId="{2804649D-177F-4F65-A959-B7A2CBC885F3}" id="{ECDCFA83-DE63-463A-897E-CA63440B3FAC}">
    <text>Indicates the fund's risk-adjusted performance compared to expected returns based on CAPM.</text>
  </threadedComment>
  <threadedComment ref="C50" dT="2024-06-26T02:31:08.87" personId="{2804649D-177F-4F65-A959-B7A2CBC885F3}" id="{2D725F28-D384-4260-BA5D-2D8E1463D322}">
    <text>It is measure of the risk in the fund that is due to active decisions made by the fund Manager.</text>
  </threadedComment>
  <threadedComment ref="C51" dT="2024-06-26T02:31:34.23" personId="{2804649D-177F-4F65-A959-B7A2CBC885F3}" id="{FF0703C3-FE65-4D2D-8025-90434054C602}">
    <text>It is measure of the risk in the fund that is due to active decisions made by the fund Manager.</text>
  </threadedComment>
  <threadedComment ref="C52" dT="2024-06-26T02:30:41.76" personId="{2804649D-177F-4F65-A959-B7A2CBC885F3}" id="{4CA2BA4F-D009-48B9-862F-078CFC66D609}">
    <text>This is the highest fall the fund ever witnessed from its peak. It helps to avoid surpises and panic</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93CD-25C7-4F9C-ACD0-92A01EBBF26C}">
  <dimension ref="A1:B1"/>
  <sheetViews>
    <sheetView workbookViewId="0"/>
  </sheetViews>
  <sheetFormatPr defaultRowHeight="14.5" x14ac:dyDescent="0.35"/>
  <sheetData>
    <row r="1" spans="1:2" x14ac:dyDescent="0.35">
      <c r="A1" t="s">
        <v>0</v>
      </c>
      <c r="B1" s="1">
        <v>45422.70103009259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82C1-E349-4C97-9788-64020310E6AA}">
  <dimension ref="A1:BH1292"/>
  <sheetViews>
    <sheetView showGridLines="0" tabSelected="1" zoomScale="108" zoomScaleNormal="108" workbookViewId="0">
      <selection activeCell="H44" sqref="H44"/>
    </sheetView>
  </sheetViews>
  <sheetFormatPr defaultRowHeight="14.5" x14ac:dyDescent="0.35"/>
  <cols>
    <col min="1" max="1" width="18.90625" style="19" customWidth="1"/>
    <col min="2" max="2" width="1.6328125" style="6" customWidth="1"/>
    <col min="3" max="3" width="8.7265625" style="2" customWidth="1"/>
    <col min="4" max="5" width="8.7265625" style="2"/>
    <col min="6" max="6" width="9.08984375" style="2" bestFit="1" customWidth="1"/>
    <col min="7" max="7" width="8.984375E-2" style="4" customWidth="1"/>
    <col min="8" max="11" width="8.7265625" style="2"/>
    <col min="12" max="12" width="1.6328125" style="7" customWidth="1"/>
    <col min="13" max="35" width="8.7265625" style="19"/>
    <col min="36" max="36" width="8.7265625" style="19" customWidth="1"/>
    <col min="37" max="60" width="8.7265625" style="19"/>
    <col min="61" max="16384" width="8.7265625" style="2"/>
  </cols>
  <sheetData>
    <row r="1" spans="1:60" x14ac:dyDescent="0.35">
      <c r="B1" s="19"/>
      <c r="C1" s="19"/>
      <c r="D1" s="19"/>
      <c r="E1" s="19"/>
      <c r="F1" s="19"/>
      <c r="G1" s="19"/>
      <c r="H1" s="19"/>
      <c r="I1" s="19"/>
      <c r="J1" s="19"/>
      <c r="K1" s="19"/>
      <c r="L1" s="19"/>
    </row>
    <row r="2" spans="1:60" ht="17.5" customHeight="1" x14ac:dyDescent="0.45">
      <c r="B2" s="42"/>
      <c r="C2" s="51" t="s">
        <v>6</v>
      </c>
      <c r="D2" s="51"/>
      <c r="E2" s="51"/>
      <c r="F2" s="51"/>
      <c r="G2" s="51"/>
      <c r="H2" s="51"/>
      <c r="I2" s="51"/>
      <c r="J2" s="51"/>
      <c r="K2" s="51"/>
      <c r="L2" s="43"/>
    </row>
    <row r="3" spans="1:60" s="5" customFormat="1" ht="9.5" customHeight="1" x14ac:dyDescent="0.35">
      <c r="A3" s="39"/>
      <c r="B3" s="54" t="s">
        <v>19</v>
      </c>
      <c r="C3" s="54"/>
      <c r="D3" s="54"/>
      <c r="E3" s="54"/>
      <c r="F3" s="54"/>
      <c r="G3" s="54"/>
      <c r="H3" s="54"/>
      <c r="I3" s="54"/>
      <c r="J3" s="54"/>
      <c r="K3" s="54"/>
      <c r="L3" s="54"/>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row>
    <row r="4" spans="1:60" ht="1.5" customHeight="1" x14ac:dyDescent="0.35">
      <c r="B4" s="2"/>
      <c r="G4" s="3"/>
      <c r="L4" s="3"/>
    </row>
    <row r="5" spans="1:60" x14ac:dyDescent="0.35">
      <c r="B5" s="2"/>
      <c r="C5" s="45" t="s">
        <v>10</v>
      </c>
      <c r="D5" s="45"/>
      <c r="E5" s="45"/>
      <c r="F5" s="46"/>
      <c r="G5" s="18"/>
      <c r="H5" s="52" t="s">
        <v>175</v>
      </c>
      <c r="I5" s="53"/>
      <c r="J5" s="53"/>
      <c r="K5" s="53"/>
      <c r="L5" s="3"/>
    </row>
    <row r="6" spans="1:60" x14ac:dyDescent="0.35">
      <c r="B6" s="2"/>
      <c r="C6" s="9" t="s">
        <v>11</v>
      </c>
      <c r="D6" s="10"/>
      <c r="E6" s="10"/>
      <c r="F6" s="14">
        <v>35331</v>
      </c>
      <c r="H6" s="44" t="s">
        <v>34</v>
      </c>
      <c r="I6" s="44"/>
      <c r="J6" s="44"/>
      <c r="K6" s="44"/>
      <c r="L6" s="3"/>
    </row>
    <row r="7" spans="1:60" x14ac:dyDescent="0.35">
      <c r="B7" s="2"/>
      <c r="C7" s="11" t="s">
        <v>16</v>
      </c>
      <c r="D7" s="12"/>
      <c r="E7" s="12"/>
      <c r="F7" s="15" t="s">
        <v>20</v>
      </c>
      <c r="H7" s="20" t="s">
        <v>35</v>
      </c>
      <c r="I7" s="20"/>
      <c r="J7" s="20"/>
      <c r="K7" s="21">
        <v>9.4700000000000006E-2</v>
      </c>
      <c r="L7" s="3"/>
    </row>
    <row r="8" spans="1:60" x14ac:dyDescent="0.35">
      <c r="B8" s="2"/>
      <c r="C8" s="11" t="s">
        <v>12</v>
      </c>
      <c r="D8" s="12"/>
      <c r="E8" s="12"/>
      <c r="F8" s="16" t="s">
        <v>21</v>
      </c>
      <c r="H8" s="8" t="s">
        <v>37</v>
      </c>
      <c r="I8" s="8"/>
      <c r="J8" s="8"/>
      <c r="K8" s="22">
        <v>5.91E-2</v>
      </c>
      <c r="L8" s="3"/>
    </row>
    <row r="9" spans="1:60" x14ac:dyDescent="0.35">
      <c r="B9" s="2"/>
      <c r="C9" s="11" t="s">
        <v>13</v>
      </c>
      <c r="D9" s="12"/>
      <c r="E9" s="12"/>
      <c r="F9" s="16" t="s">
        <v>28</v>
      </c>
      <c r="H9" s="20" t="s">
        <v>39</v>
      </c>
      <c r="I9" s="20"/>
      <c r="J9" s="20"/>
      <c r="K9" s="21">
        <v>3.7699999999999997E-2</v>
      </c>
      <c r="L9" s="3"/>
    </row>
    <row r="10" spans="1:60" x14ac:dyDescent="0.35">
      <c r="B10" s="2"/>
      <c r="C10" s="11" t="s">
        <v>14</v>
      </c>
      <c r="D10" s="12"/>
      <c r="E10" s="12"/>
      <c r="F10" s="16" t="s">
        <v>22</v>
      </c>
      <c r="H10" s="8" t="s">
        <v>41</v>
      </c>
      <c r="I10" s="8"/>
      <c r="J10" s="8"/>
      <c r="K10" s="22">
        <v>3.15E-2</v>
      </c>
      <c r="L10" s="3"/>
    </row>
    <row r="11" spans="1:60" x14ac:dyDescent="0.35">
      <c r="B11" s="2"/>
      <c r="C11" s="11" t="s">
        <v>15</v>
      </c>
      <c r="D11" s="12"/>
      <c r="E11" s="12"/>
      <c r="F11" s="16" t="s">
        <v>23</v>
      </c>
      <c r="H11" s="20" t="s">
        <v>43</v>
      </c>
      <c r="I11" s="20"/>
      <c r="J11" s="20"/>
      <c r="K11" s="21">
        <v>3.1200000000000002E-2</v>
      </c>
      <c r="L11" s="3"/>
    </row>
    <row r="12" spans="1:60" x14ac:dyDescent="0.35">
      <c r="B12" s="2"/>
      <c r="C12" s="11" t="s">
        <v>7</v>
      </c>
      <c r="D12" s="12"/>
      <c r="E12" s="12"/>
      <c r="F12" s="16" t="s">
        <v>8</v>
      </c>
      <c r="H12" s="8" t="s">
        <v>47</v>
      </c>
      <c r="I12" s="8"/>
      <c r="J12" s="8"/>
      <c r="K12" s="22">
        <v>2.8900000000000002E-2</v>
      </c>
      <c r="L12" s="3"/>
    </row>
    <row r="13" spans="1:60" x14ac:dyDescent="0.35">
      <c r="B13" s="2"/>
      <c r="C13" s="11" t="s">
        <v>17</v>
      </c>
      <c r="D13" s="12"/>
      <c r="E13" s="12"/>
      <c r="F13" s="17">
        <v>6.4000000000000003E-3</v>
      </c>
      <c r="H13" s="20" t="s">
        <v>48</v>
      </c>
      <c r="I13" s="20"/>
      <c r="J13" s="20"/>
      <c r="K13" s="21">
        <v>2.81E-2</v>
      </c>
      <c r="L13" s="3"/>
    </row>
    <row r="14" spans="1:60" x14ac:dyDescent="0.35">
      <c r="B14" s="2"/>
      <c r="C14" s="11" t="s">
        <v>24</v>
      </c>
      <c r="D14" s="12"/>
      <c r="E14" s="13" t="s">
        <v>25</v>
      </c>
      <c r="F14" s="17">
        <v>0.01</v>
      </c>
      <c r="H14" s="8" t="s">
        <v>49</v>
      </c>
      <c r="I14" s="8"/>
      <c r="J14" s="8"/>
      <c r="K14" s="22">
        <v>2.7300000000000001E-2</v>
      </c>
      <c r="L14" s="3"/>
    </row>
    <row r="15" spans="1:60" x14ac:dyDescent="0.35">
      <c r="B15" s="2"/>
      <c r="C15" s="11"/>
      <c r="D15" s="12"/>
      <c r="E15" s="13" t="s">
        <v>26</v>
      </c>
      <c r="F15" s="16" t="s">
        <v>27</v>
      </c>
      <c r="H15" s="20" t="s">
        <v>51</v>
      </c>
      <c r="I15" s="20"/>
      <c r="J15" s="20"/>
      <c r="K15" s="21">
        <v>2.5099999999999997E-2</v>
      </c>
      <c r="L15" s="3"/>
    </row>
    <row r="16" spans="1:60" x14ac:dyDescent="0.35">
      <c r="B16" s="2"/>
      <c r="C16" s="11" t="s">
        <v>18</v>
      </c>
      <c r="D16" s="12"/>
      <c r="E16" s="12"/>
      <c r="F16" s="16" t="s">
        <v>29</v>
      </c>
      <c r="H16" s="8" t="s">
        <v>53</v>
      </c>
      <c r="I16" s="8"/>
      <c r="J16" s="8"/>
      <c r="K16" s="22">
        <v>2.3099999999999999E-2</v>
      </c>
      <c r="L16" s="3"/>
    </row>
    <row r="17" spans="2:12" x14ac:dyDescent="0.35">
      <c r="B17" s="2"/>
      <c r="C17" s="11"/>
      <c r="D17" s="12"/>
      <c r="E17" s="12"/>
      <c r="F17" s="16" t="s">
        <v>30</v>
      </c>
      <c r="H17" s="20" t="s">
        <v>54</v>
      </c>
      <c r="I17" s="20"/>
      <c r="J17" s="20"/>
      <c r="K17" s="21">
        <f>(SUM(K7:K16))</f>
        <v>0.38669999999999999</v>
      </c>
      <c r="L17" s="3"/>
    </row>
    <row r="18" spans="2:12" x14ac:dyDescent="0.35">
      <c r="B18" s="2"/>
      <c r="C18" s="11"/>
      <c r="D18" s="12"/>
      <c r="E18" s="12"/>
      <c r="F18" s="16" t="s">
        <v>31</v>
      </c>
      <c r="H18" s="44" t="s">
        <v>55</v>
      </c>
      <c r="I18" s="44"/>
      <c r="J18" s="44"/>
      <c r="K18" s="44"/>
      <c r="L18" s="3"/>
    </row>
    <row r="19" spans="2:12" x14ac:dyDescent="0.35">
      <c r="B19" s="2"/>
      <c r="C19" s="11"/>
      <c r="D19" s="12"/>
      <c r="E19" s="12"/>
      <c r="F19" s="16" t="s">
        <v>32</v>
      </c>
      <c r="L19" s="3"/>
    </row>
    <row r="20" spans="2:12" x14ac:dyDescent="0.35">
      <c r="B20" s="2"/>
      <c r="C20" s="11"/>
      <c r="D20" s="12"/>
      <c r="E20" s="12"/>
      <c r="F20" s="16" t="s">
        <v>27</v>
      </c>
      <c r="L20" s="3"/>
    </row>
    <row r="21" spans="2:12" x14ac:dyDescent="0.35">
      <c r="B21" s="2"/>
      <c r="C21" s="11" t="s">
        <v>33</v>
      </c>
      <c r="D21" s="12"/>
      <c r="E21" s="12"/>
      <c r="F21" s="12"/>
      <c r="L21" s="3"/>
    </row>
    <row r="22" spans="2:12" x14ac:dyDescent="0.35">
      <c r="B22" s="2"/>
      <c r="C22" s="11"/>
      <c r="D22" s="12"/>
      <c r="E22" s="12"/>
      <c r="F22" s="12"/>
      <c r="L22" s="3"/>
    </row>
    <row r="23" spans="2:12" x14ac:dyDescent="0.35">
      <c r="B23" s="2"/>
      <c r="C23" s="49"/>
      <c r="D23" s="49"/>
      <c r="E23" s="49"/>
      <c r="F23" s="49"/>
      <c r="L23" s="3"/>
    </row>
    <row r="24" spans="2:12" x14ac:dyDescent="0.35">
      <c r="B24" s="2"/>
      <c r="C24" s="50"/>
      <c r="D24" s="50"/>
      <c r="E24" s="50"/>
      <c r="F24" s="50"/>
      <c r="L24" s="3"/>
    </row>
    <row r="25" spans="2:12" x14ac:dyDescent="0.35">
      <c r="B25" s="2"/>
      <c r="C25" s="50"/>
      <c r="D25" s="50"/>
      <c r="E25" s="50"/>
      <c r="F25" s="50"/>
      <c r="L25" s="3"/>
    </row>
    <row r="26" spans="2:12" x14ac:dyDescent="0.35">
      <c r="B26" s="2"/>
      <c r="C26" s="50"/>
      <c r="D26" s="50"/>
      <c r="E26" s="50"/>
      <c r="F26" s="50"/>
      <c r="L26" s="3"/>
    </row>
    <row r="27" spans="2:12" x14ac:dyDescent="0.35">
      <c r="B27" s="2"/>
      <c r="C27" s="50"/>
      <c r="D27" s="50"/>
      <c r="E27" s="50"/>
      <c r="F27" s="50"/>
      <c r="H27" s="44" t="s">
        <v>178</v>
      </c>
      <c r="I27" s="44"/>
      <c r="J27" s="44"/>
      <c r="K27" s="44"/>
      <c r="L27" s="3"/>
    </row>
    <row r="28" spans="2:12" x14ac:dyDescent="0.35">
      <c r="B28" s="2"/>
      <c r="C28" s="50"/>
      <c r="D28" s="50"/>
      <c r="E28" s="50"/>
      <c r="F28" s="50"/>
      <c r="L28" s="3"/>
    </row>
    <row r="29" spans="2:12" x14ac:dyDescent="0.35">
      <c r="B29" s="2"/>
      <c r="C29" s="11" t="s">
        <v>9</v>
      </c>
      <c r="D29" s="12"/>
      <c r="E29" s="12"/>
      <c r="F29" s="12"/>
      <c r="L29" s="3"/>
    </row>
    <row r="30" spans="2:12" x14ac:dyDescent="0.35">
      <c r="B30" s="2"/>
      <c r="C30" s="12"/>
      <c r="D30" s="12"/>
      <c r="E30" s="12"/>
      <c r="F30" s="12"/>
      <c r="L30" s="3"/>
    </row>
    <row r="31" spans="2:12" x14ac:dyDescent="0.35">
      <c r="B31" s="2"/>
      <c r="C31" s="12"/>
      <c r="D31" s="12"/>
      <c r="E31" s="12"/>
      <c r="F31" s="12"/>
      <c r="L31" s="3"/>
    </row>
    <row r="32" spans="2:12" x14ac:dyDescent="0.35">
      <c r="B32" s="2"/>
      <c r="C32" s="12"/>
      <c r="D32" s="12"/>
      <c r="E32" s="12"/>
      <c r="F32" s="12"/>
      <c r="L32" s="3"/>
    </row>
    <row r="33" spans="2:12" x14ac:dyDescent="0.35">
      <c r="B33" s="2"/>
      <c r="C33" s="12"/>
      <c r="D33" s="12"/>
      <c r="E33" s="12"/>
      <c r="F33" s="12"/>
      <c r="L33" s="3"/>
    </row>
    <row r="34" spans="2:12" x14ac:dyDescent="0.35">
      <c r="B34" s="2"/>
      <c r="C34" s="12"/>
      <c r="D34" s="12"/>
      <c r="E34" s="12"/>
      <c r="F34" s="12"/>
      <c r="L34" s="3"/>
    </row>
    <row r="35" spans="2:12" x14ac:dyDescent="0.35">
      <c r="B35" s="2"/>
      <c r="C35" s="12"/>
      <c r="D35" s="12"/>
      <c r="E35" s="12"/>
      <c r="F35" s="12"/>
      <c r="L35" s="3"/>
    </row>
    <row r="36" spans="2:12" x14ac:dyDescent="0.35">
      <c r="B36" s="2"/>
      <c r="C36" s="12"/>
      <c r="D36" s="12"/>
      <c r="E36" s="12"/>
      <c r="F36" s="12"/>
      <c r="H36" s="12"/>
      <c r="I36" s="12"/>
      <c r="J36" s="12"/>
      <c r="K36" s="12"/>
      <c r="L36" s="3"/>
    </row>
    <row r="37" spans="2:12" ht="15" thickBot="1" x14ac:dyDescent="0.4">
      <c r="B37" s="2"/>
      <c r="C37" s="45" t="s">
        <v>179</v>
      </c>
      <c r="D37" s="45"/>
      <c r="E37" s="45"/>
      <c r="F37" s="46"/>
      <c r="H37" s="45" t="s">
        <v>180</v>
      </c>
      <c r="I37" s="45"/>
      <c r="J37" s="45"/>
      <c r="K37" s="46"/>
      <c r="L37" s="3"/>
    </row>
    <row r="38" spans="2:12" ht="15" thickBot="1" x14ac:dyDescent="0.4">
      <c r="B38" s="2"/>
      <c r="C38" s="33" t="s">
        <v>181</v>
      </c>
      <c r="D38" s="33" t="s">
        <v>1</v>
      </c>
      <c r="E38" s="33" t="s">
        <v>182</v>
      </c>
      <c r="F38" s="33" t="s">
        <v>7</v>
      </c>
      <c r="H38" s="33" t="s">
        <v>185</v>
      </c>
      <c r="I38" s="33" t="s">
        <v>1</v>
      </c>
      <c r="J38" s="33" t="s">
        <v>182</v>
      </c>
      <c r="K38" s="33" t="s">
        <v>7</v>
      </c>
      <c r="L38" s="3"/>
    </row>
    <row r="39" spans="2:12" ht="15" thickBot="1" x14ac:dyDescent="0.4">
      <c r="B39" s="2"/>
      <c r="C39" s="34" t="s">
        <v>183</v>
      </c>
      <c r="D39" s="34">
        <v>6.27</v>
      </c>
      <c r="E39" s="34">
        <v>2.2799999999999998</v>
      </c>
      <c r="F39" s="34">
        <v>11.56</v>
      </c>
      <c r="H39" s="34">
        <v>1</v>
      </c>
      <c r="I39" s="34">
        <v>66.900000000000006</v>
      </c>
      <c r="J39" s="34">
        <v>50.52</v>
      </c>
      <c r="K39" s="34" t="s">
        <v>2</v>
      </c>
      <c r="L39" s="3"/>
    </row>
    <row r="40" spans="2:12" ht="15" thickBot="1" x14ac:dyDescent="0.4">
      <c r="B40" s="2"/>
      <c r="C40" s="34" t="s">
        <v>5</v>
      </c>
      <c r="D40" s="34">
        <v>1.01</v>
      </c>
      <c r="E40" s="34">
        <v>0.79</v>
      </c>
      <c r="F40" s="34">
        <v>0.4</v>
      </c>
      <c r="H40" s="34">
        <v>2</v>
      </c>
      <c r="I40" s="34">
        <v>53.49</v>
      </c>
      <c r="J40" s="34">
        <v>40.840000000000003</v>
      </c>
      <c r="K40" s="34" t="s">
        <v>2</v>
      </c>
      <c r="L40" s="3"/>
    </row>
    <row r="41" spans="2:12" ht="15" thickBot="1" x14ac:dyDescent="0.4">
      <c r="B41" s="2"/>
      <c r="C41" s="34" t="s">
        <v>184</v>
      </c>
      <c r="D41" s="34">
        <v>86.19</v>
      </c>
      <c r="E41" s="34">
        <v>83.45</v>
      </c>
      <c r="F41" s="34">
        <v>19.78</v>
      </c>
      <c r="H41" s="34">
        <v>3</v>
      </c>
      <c r="I41" s="34">
        <v>33.04</v>
      </c>
      <c r="J41" s="34">
        <v>27.18</v>
      </c>
      <c r="K41" s="34" t="s">
        <v>2</v>
      </c>
      <c r="L41" s="3"/>
    </row>
    <row r="42" spans="2:12" ht="21.5" thickBot="1" x14ac:dyDescent="0.4">
      <c r="B42" s="2"/>
      <c r="C42" s="34" t="s">
        <v>3</v>
      </c>
      <c r="D42" s="34">
        <v>1.43</v>
      </c>
      <c r="E42" s="34">
        <v>1.24</v>
      </c>
      <c r="F42" s="34">
        <v>0.91</v>
      </c>
      <c r="H42" s="34">
        <v>5</v>
      </c>
      <c r="I42" s="34">
        <v>42.76</v>
      </c>
      <c r="J42" s="34">
        <v>29.42</v>
      </c>
      <c r="K42" s="34" t="s">
        <v>2</v>
      </c>
      <c r="L42" s="3"/>
    </row>
    <row r="43" spans="2:12" ht="21.5" thickBot="1" x14ac:dyDescent="0.4">
      <c r="B43" s="2"/>
      <c r="C43" s="34" t="s">
        <v>4</v>
      </c>
      <c r="D43" s="34">
        <v>18.64</v>
      </c>
      <c r="E43" s="34">
        <v>14.83</v>
      </c>
      <c r="F43" s="34">
        <v>13.01</v>
      </c>
      <c r="H43" s="35" t="s">
        <v>186</v>
      </c>
      <c r="I43" s="34">
        <v>13.06</v>
      </c>
      <c r="J43" s="34">
        <v>22.99</v>
      </c>
      <c r="K43" s="34" t="s">
        <v>2</v>
      </c>
      <c r="L43" s="3"/>
    </row>
    <row r="44" spans="2:12" ht="15" thickBot="1" x14ac:dyDescent="0.4">
      <c r="B44" s="2"/>
      <c r="C44" s="34" t="s">
        <v>187</v>
      </c>
      <c r="D44" s="34" t="s">
        <v>2</v>
      </c>
      <c r="E44" s="34" t="s">
        <v>2</v>
      </c>
      <c r="F44" s="34" t="s">
        <v>2</v>
      </c>
      <c r="I44" s="12"/>
      <c r="J44" s="12"/>
      <c r="K44" s="12"/>
      <c r="L44" s="3"/>
    </row>
    <row r="45" spans="2:12" ht="15" thickBot="1" x14ac:dyDescent="0.4">
      <c r="B45" s="2"/>
      <c r="C45" s="34" t="s">
        <v>201</v>
      </c>
      <c r="D45" s="34" t="s">
        <v>2</v>
      </c>
      <c r="E45" s="34" t="s">
        <v>2</v>
      </c>
      <c r="F45" s="34" t="s">
        <v>2</v>
      </c>
      <c r="H45" s="55" t="s">
        <v>205</v>
      </c>
      <c r="I45" s="12"/>
      <c r="J45" s="12"/>
      <c r="K45" s="12"/>
      <c r="L45" s="3"/>
    </row>
    <row r="46" spans="2:12" ht="15" thickBot="1" x14ac:dyDescent="0.4">
      <c r="B46" s="2"/>
      <c r="C46" s="34" t="s">
        <v>202</v>
      </c>
      <c r="D46" s="34" t="s">
        <v>2</v>
      </c>
      <c r="E46" s="34" t="s">
        <v>2</v>
      </c>
      <c r="F46" s="34" t="s">
        <v>2</v>
      </c>
      <c r="H46" s="12"/>
      <c r="I46" s="12"/>
      <c r="J46" s="12"/>
      <c r="K46" s="12"/>
      <c r="L46" s="3"/>
    </row>
    <row r="47" spans="2:12" ht="21.5" thickBot="1" x14ac:dyDescent="0.4">
      <c r="B47" s="2"/>
      <c r="C47" s="34" t="s">
        <v>196</v>
      </c>
      <c r="D47" s="34" t="s">
        <v>2</v>
      </c>
      <c r="E47" s="34" t="s">
        <v>2</v>
      </c>
      <c r="F47" s="34" t="s">
        <v>2</v>
      </c>
      <c r="H47" s="12"/>
      <c r="I47" s="12"/>
      <c r="J47" s="12"/>
      <c r="K47" s="12"/>
      <c r="L47" s="3"/>
    </row>
    <row r="48" spans="2:12" ht="15" thickBot="1" x14ac:dyDescent="0.4">
      <c r="B48" s="2"/>
      <c r="C48" s="34" t="s">
        <v>197</v>
      </c>
      <c r="D48" s="34" t="s">
        <v>2</v>
      </c>
      <c r="E48" s="34" t="s">
        <v>2</v>
      </c>
      <c r="F48" s="34" t="s">
        <v>2</v>
      </c>
      <c r="H48" s="12"/>
      <c r="I48" s="12"/>
      <c r="J48" s="12"/>
      <c r="K48" s="12"/>
      <c r="L48" s="3"/>
    </row>
    <row r="49" spans="2:12" ht="21.5" thickBot="1" x14ac:dyDescent="0.4">
      <c r="B49" s="2"/>
      <c r="C49" s="34" t="s">
        <v>198</v>
      </c>
      <c r="D49" s="34" t="s">
        <v>2</v>
      </c>
      <c r="E49" s="34" t="s">
        <v>2</v>
      </c>
      <c r="F49" s="34" t="s">
        <v>2</v>
      </c>
      <c r="H49" s="12"/>
      <c r="I49" s="12"/>
      <c r="J49" s="12"/>
      <c r="K49" s="12"/>
      <c r="L49" s="3"/>
    </row>
    <row r="50" spans="2:12" ht="21.5" thickBot="1" x14ac:dyDescent="0.4">
      <c r="B50" s="2"/>
      <c r="C50" s="34" t="s">
        <v>200</v>
      </c>
      <c r="D50" s="34" t="s">
        <v>2</v>
      </c>
      <c r="E50" s="34" t="s">
        <v>2</v>
      </c>
      <c r="F50" s="34" t="s">
        <v>2</v>
      </c>
      <c r="H50" s="12"/>
      <c r="I50" s="12"/>
      <c r="J50" s="12"/>
      <c r="K50" s="12"/>
      <c r="L50" s="3"/>
    </row>
    <row r="51" spans="2:12" ht="15" thickBot="1" x14ac:dyDescent="0.4">
      <c r="B51" s="2"/>
      <c r="C51" s="34" t="s">
        <v>199</v>
      </c>
      <c r="D51" s="34" t="s">
        <v>2</v>
      </c>
      <c r="E51" s="34" t="s">
        <v>2</v>
      </c>
      <c r="F51" s="34" t="s">
        <v>2</v>
      </c>
      <c r="H51" s="12"/>
      <c r="I51" s="12"/>
      <c r="J51" s="12"/>
      <c r="K51" s="12"/>
      <c r="L51" s="3"/>
    </row>
    <row r="52" spans="2:12" ht="21.5" thickBot="1" x14ac:dyDescent="0.4">
      <c r="B52" s="2"/>
      <c r="C52" s="34" t="s">
        <v>203</v>
      </c>
      <c r="D52" s="34" t="s">
        <v>2</v>
      </c>
      <c r="E52" s="34" t="s">
        <v>2</v>
      </c>
      <c r="F52" s="34" t="s">
        <v>2</v>
      </c>
      <c r="H52" s="12"/>
      <c r="I52" s="12"/>
      <c r="J52" s="12"/>
      <c r="K52" s="12"/>
      <c r="L52" s="3"/>
    </row>
    <row r="53" spans="2:12" x14ac:dyDescent="0.35">
      <c r="B53" s="2"/>
      <c r="C53" s="36" t="s">
        <v>195</v>
      </c>
      <c r="D53" s="12"/>
      <c r="E53" s="12"/>
      <c r="F53" s="12"/>
      <c r="H53" s="12"/>
      <c r="I53" s="12"/>
      <c r="J53" s="12"/>
      <c r="K53" s="12"/>
      <c r="L53" s="3"/>
    </row>
    <row r="54" spans="2:12" x14ac:dyDescent="0.35">
      <c r="B54" s="2"/>
      <c r="C54" s="12" t="s">
        <v>188</v>
      </c>
      <c r="D54" s="12"/>
      <c r="E54" s="12"/>
      <c r="F54" s="12"/>
      <c r="H54" s="12"/>
      <c r="I54" s="12"/>
      <c r="J54" s="12"/>
      <c r="K54" s="12"/>
      <c r="L54" s="3"/>
    </row>
    <row r="55" spans="2:12" x14ac:dyDescent="0.35">
      <c r="B55" s="2"/>
      <c r="C55" s="11" t="s">
        <v>190</v>
      </c>
      <c r="D55" s="12"/>
      <c r="E55" s="12"/>
      <c r="F55" s="40" t="s">
        <v>2</v>
      </c>
      <c r="H55" s="12"/>
      <c r="I55" s="12"/>
      <c r="J55" s="12"/>
      <c r="K55" s="12"/>
      <c r="L55" s="3"/>
    </row>
    <row r="56" spans="2:12" x14ac:dyDescent="0.35">
      <c r="B56" s="2"/>
      <c r="C56" s="11" t="s">
        <v>191</v>
      </c>
      <c r="D56" s="12"/>
      <c r="E56" s="12"/>
      <c r="F56" s="40" t="s">
        <v>2</v>
      </c>
      <c r="H56" s="12"/>
      <c r="I56" s="12"/>
      <c r="J56" s="12"/>
      <c r="K56" s="12"/>
      <c r="L56" s="3"/>
    </row>
    <row r="57" spans="2:12" x14ac:dyDescent="0.35">
      <c r="B57" s="2"/>
      <c r="C57" s="11" t="s">
        <v>192</v>
      </c>
      <c r="D57" s="12"/>
      <c r="E57" s="12"/>
      <c r="F57" s="40" t="s">
        <v>2</v>
      </c>
      <c r="H57" s="12"/>
      <c r="I57" s="12"/>
      <c r="J57" s="12"/>
      <c r="K57" s="12"/>
      <c r="L57" s="3"/>
    </row>
    <row r="58" spans="2:12" x14ac:dyDescent="0.35">
      <c r="B58" s="2"/>
      <c r="C58" s="11" t="s">
        <v>193</v>
      </c>
      <c r="D58" s="12"/>
      <c r="E58" s="12"/>
      <c r="F58" s="40" t="s">
        <v>2</v>
      </c>
      <c r="H58" s="12"/>
      <c r="I58" s="12"/>
      <c r="J58" s="12"/>
      <c r="K58" s="12"/>
      <c r="L58" s="3"/>
    </row>
    <row r="59" spans="2:12" x14ac:dyDescent="0.35">
      <c r="B59" s="2"/>
      <c r="C59" s="11" t="s">
        <v>194</v>
      </c>
      <c r="D59" s="12"/>
      <c r="E59" s="12"/>
      <c r="F59" s="40" t="s">
        <v>2</v>
      </c>
      <c r="H59" s="12"/>
      <c r="I59" s="12"/>
      <c r="J59" s="12"/>
      <c r="K59" s="12"/>
      <c r="L59" s="3"/>
    </row>
    <row r="60" spans="2:12" x14ac:dyDescent="0.35">
      <c r="B60" s="2"/>
      <c r="C60" s="11" t="s">
        <v>189</v>
      </c>
      <c r="D60" s="12"/>
      <c r="E60" s="47"/>
      <c r="F60" s="47"/>
      <c r="H60" s="12"/>
      <c r="I60" s="12"/>
      <c r="J60" s="12"/>
      <c r="K60" s="12"/>
      <c r="L60" s="3"/>
    </row>
    <row r="61" spans="2:12" x14ac:dyDescent="0.35">
      <c r="B61" s="2"/>
      <c r="C61" s="12"/>
      <c r="D61" s="12"/>
      <c r="E61" s="48"/>
      <c r="F61" s="48"/>
      <c r="H61" s="12"/>
      <c r="I61" s="12"/>
      <c r="J61" s="12"/>
      <c r="K61" s="12"/>
      <c r="L61" s="3"/>
    </row>
    <row r="62" spans="2:12" ht="8" customHeight="1" x14ac:dyDescent="0.35">
      <c r="B62" s="2"/>
      <c r="C62" s="56" t="s">
        <v>204</v>
      </c>
      <c r="D62" s="56"/>
      <c r="E62" s="56"/>
      <c r="F62" s="56"/>
      <c r="G62" s="56"/>
      <c r="H62" s="56"/>
      <c r="I62" s="56"/>
      <c r="J62" s="56"/>
      <c r="K62" s="56"/>
      <c r="L62" s="3"/>
    </row>
    <row r="63" spans="2:12" s="19" customFormat="1" x14ac:dyDescent="0.35">
      <c r="C63" s="37"/>
      <c r="D63" s="37"/>
      <c r="E63" s="37"/>
      <c r="F63" s="37"/>
      <c r="H63" s="37"/>
      <c r="I63" s="37"/>
      <c r="J63" s="37"/>
      <c r="K63" s="37"/>
    </row>
    <row r="64" spans="2:12" s="19" customFormat="1" x14ac:dyDescent="0.35">
      <c r="C64" s="37"/>
      <c r="D64" s="37"/>
      <c r="E64" s="37"/>
      <c r="F64" s="37"/>
      <c r="H64" s="37"/>
      <c r="I64" s="37"/>
      <c r="J64" s="37"/>
      <c r="K64" s="37"/>
    </row>
    <row r="65" spans="3:11" s="19" customFormat="1" x14ac:dyDescent="0.35">
      <c r="C65" s="37"/>
      <c r="D65" s="37"/>
      <c r="E65" s="37"/>
      <c r="F65" s="37"/>
      <c r="H65" s="37"/>
      <c r="I65" s="37"/>
      <c r="J65" s="37"/>
      <c r="K65" s="37"/>
    </row>
    <row r="66" spans="3:11" s="19" customFormat="1" x14ac:dyDescent="0.35">
      <c r="C66" s="37"/>
      <c r="D66" s="37"/>
      <c r="E66" s="37"/>
      <c r="F66" s="37"/>
      <c r="H66" s="37"/>
      <c r="I66" s="37"/>
      <c r="J66" s="37"/>
      <c r="K66" s="37"/>
    </row>
    <row r="67" spans="3:11" s="19" customFormat="1" x14ac:dyDescent="0.35">
      <c r="C67" s="37"/>
      <c r="D67" s="37"/>
      <c r="E67" s="37"/>
      <c r="F67" s="37"/>
      <c r="H67" s="37"/>
      <c r="I67" s="37"/>
      <c r="J67" s="37"/>
      <c r="K67" s="37"/>
    </row>
    <row r="68" spans="3:11" s="19" customFormat="1" x14ac:dyDescent="0.35">
      <c r="C68" s="37"/>
      <c r="D68" s="37"/>
      <c r="E68" s="37"/>
      <c r="F68" s="37"/>
      <c r="H68" s="37"/>
      <c r="I68" s="37"/>
      <c r="J68" s="37"/>
      <c r="K68" s="37"/>
    </row>
    <row r="69" spans="3:11" s="19" customFormat="1" x14ac:dyDescent="0.35">
      <c r="C69" s="37"/>
      <c r="D69" s="37"/>
      <c r="E69" s="37"/>
      <c r="F69" s="37"/>
      <c r="H69" s="37"/>
      <c r="I69" s="37"/>
      <c r="J69" s="37"/>
      <c r="K69" s="37"/>
    </row>
    <row r="70" spans="3:11" s="19" customFormat="1" x14ac:dyDescent="0.35">
      <c r="C70" s="37"/>
      <c r="D70" s="37"/>
      <c r="E70" s="37"/>
      <c r="F70" s="37"/>
      <c r="H70" s="37"/>
      <c r="I70" s="37"/>
      <c r="J70" s="37"/>
      <c r="K70" s="37"/>
    </row>
    <row r="71" spans="3:11" s="19" customFormat="1" x14ac:dyDescent="0.35">
      <c r="C71" s="37"/>
      <c r="D71" s="37"/>
      <c r="E71" s="37"/>
      <c r="F71" s="37"/>
      <c r="H71" s="37"/>
      <c r="I71" s="37"/>
      <c r="J71" s="37"/>
      <c r="K71" s="37"/>
    </row>
    <row r="72" spans="3:11" s="19" customFormat="1" x14ac:dyDescent="0.35">
      <c r="C72" s="37"/>
      <c r="D72" s="37"/>
      <c r="E72" s="37"/>
      <c r="F72" s="37"/>
      <c r="H72" s="37"/>
      <c r="I72" s="37"/>
      <c r="J72" s="37"/>
      <c r="K72" s="37"/>
    </row>
    <row r="73" spans="3:11" s="19" customFormat="1" x14ac:dyDescent="0.35">
      <c r="C73" s="37"/>
      <c r="D73" s="37"/>
      <c r="E73" s="37"/>
      <c r="F73" s="37"/>
      <c r="H73" s="37"/>
      <c r="I73" s="37"/>
      <c r="J73" s="37"/>
      <c r="K73" s="37"/>
    </row>
    <row r="74" spans="3:11" s="19" customFormat="1" x14ac:dyDescent="0.35">
      <c r="C74" s="37"/>
      <c r="D74" s="37"/>
      <c r="E74" s="37"/>
      <c r="F74" s="37"/>
      <c r="H74" s="37"/>
      <c r="I74" s="37"/>
      <c r="J74" s="37"/>
      <c r="K74" s="37"/>
    </row>
    <row r="75" spans="3:11" s="19" customFormat="1" x14ac:dyDescent="0.35">
      <c r="C75" s="37"/>
      <c r="D75" s="37"/>
      <c r="E75" s="37"/>
      <c r="F75" s="37"/>
      <c r="H75" s="37"/>
      <c r="I75" s="37"/>
      <c r="J75" s="37"/>
      <c r="K75" s="37"/>
    </row>
    <row r="76" spans="3:11" s="19" customFormat="1" x14ac:dyDescent="0.35">
      <c r="C76" s="37"/>
      <c r="D76" s="37"/>
      <c r="E76" s="37"/>
      <c r="F76" s="37"/>
      <c r="H76" s="37"/>
      <c r="I76" s="37"/>
      <c r="J76" s="37"/>
      <c r="K76" s="37"/>
    </row>
    <row r="77" spans="3:11" s="19" customFormat="1" x14ac:dyDescent="0.35">
      <c r="C77" s="37"/>
      <c r="D77" s="37"/>
      <c r="E77" s="37"/>
      <c r="F77" s="37"/>
      <c r="H77" s="37"/>
      <c r="I77" s="37"/>
      <c r="J77" s="37"/>
      <c r="K77" s="37"/>
    </row>
    <row r="78" spans="3:11" s="19" customFormat="1" x14ac:dyDescent="0.35">
      <c r="C78" s="37"/>
      <c r="D78" s="37"/>
      <c r="E78" s="37"/>
      <c r="F78" s="37"/>
      <c r="H78" s="37"/>
      <c r="I78" s="37"/>
      <c r="J78" s="37"/>
      <c r="K78" s="37"/>
    </row>
    <row r="79" spans="3:11" s="19" customFormat="1" x14ac:dyDescent="0.35">
      <c r="C79" s="37"/>
      <c r="D79" s="37"/>
      <c r="E79" s="37"/>
      <c r="F79" s="37"/>
      <c r="H79" s="37"/>
      <c r="I79" s="37"/>
      <c r="J79" s="37"/>
      <c r="K79" s="37"/>
    </row>
    <row r="80" spans="3:11" s="19" customFormat="1" x14ac:dyDescent="0.35">
      <c r="C80" s="37"/>
      <c r="D80" s="37"/>
      <c r="E80" s="37"/>
      <c r="F80" s="37"/>
      <c r="H80" s="37"/>
      <c r="I80" s="37"/>
      <c r="J80" s="37"/>
      <c r="K80" s="37"/>
    </row>
    <row r="81" spans="2:12" s="19" customFormat="1" x14ac:dyDescent="0.35">
      <c r="C81" s="37"/>
      <c r="D81" s="37"/>
      <c r="E81" s="37"/>
      <c r="F81" s="37"/>
      <c r="H81" s="37"/>
      <c r="I81" s="37"/>
      <c r="J81" s="37"/>
      <c r="K81" s="37"/>
    </row>
    <row r="82" spans="2:12" s="19" customFormat="1" x14ac:dyDescent="0.35">
      <c r="C82" s="37"/>
      <c r="D82" s="37"/>
      <c r="E82" s="37"/>
      <c r="F82" s="37"/>
      <c r="H82" s="37"/>
      <c r="I82" s="37"/>
      <c r="J82" s="37"/>
      <c r="K82" s="37"/>
    </row>
    <row r="83" spans="2:12" s="19" customFormat="1" x14ac:dyDescent="0.35">
      <c r="C83" s="37"/>
      <c r="D83" s="37"/>
      <c r="E83" s="37"/>
      <c r="F83" s="37"/>
      <c r="H83" s="37"/>
      <c r="I83" s="37"/>
      <c r="J83" s="37"/>
      <c r="K83" s="37"/>
    </row>
    <row r="84" spans="2:12" s="19" customFormat="1" x14ac:dyDescent="0.35">
      <c r="C84" s="37"/>
      <c r="D84" s="37"/>
      <c r="E84" s="37"/>
      <c r="F84" s="37"/>
      <c r="H84" s="37"/>
      <c r="I84" s="37"/>
      <c r="J84" s="37"/>
      <c r="K84" s="37"/>
    </row>
    <row r="85" spans="2:12" s="19" customFormat="1" x14ac:dyDescent="0.35">
      <c r="C85" s="37"/>
      <c r="D85" s="37"/>
      <c r="E85" s="37"/>
      <c r="F85" s="37"/>
      <c r="H85" s="37"/>
      <c r="I85" s="37"/>
      <c r="J85" s="37"/>
      <c r="K85" s="37"/>
    </row>
    <row r="86" spans="2:12" s="19" customFormat="1" x14ac:dyDescent="0.35"/>
    <row r="87" spans="2:12" s="19" customFormat="1" x14ac:dyDescent="0.35">
      <c r="K87" s="38"/>
    </row>
    <row r="88" spans="2:12" s="19" customFormat="1" x14ac:dyDescent="0.35"/>
    <row r="89" spans="2:12" s="19" customFormat="1" x14ac:dyDescent="0.35"/>
    <row r="90" spans="2:12" s="19" customFormat="1" x14ac:dyDescent="0.35"/>
    <row r="91" spans="2:12" s="19" customFormat="1" x14ac:dyDescent="0.35">
      <c r="B91" s="41"/>
      <c r="L91" s="38"/>
    </row>
    <row r="92" spans="2:12" s="19" customFormat="1" x14ac:dyDescent="0.35">
      <c r="B92" s="41"/>
      <c r="L92" s="38"/>
    </row>
    <row r="93" spans="2:12" s="19" customFormat="1" x14ac:dyDescent="0.35">
      <c r="B93" s="41"/>
      <c r="L93" s="38"/>
    </row>
    <row r="94" spans="2:12" s="19" customFormat="1" x14ac:dyDescent="0.35">
      <c r="B94" s="41"/>
      <c r="L94" s="38"/>
    </row>
    <row r="95" spans="2:12" s="19" customFormat="1" x14ac:dyDescent="0.35">
      <c r="B95" s="41"/>
      <c r="L95" s="38"/>
    </row>
    <row r="96" spans="2:12" s="19" customFormat="1" x14ac:dyDescent="0.35">
      <c r="B96" s="41"/>
      <c r="L96" s="38"/>
    </row>
    <row r="97" spans="2:12" s="19" customFormat="1" x14ac:dyDescent="0.35">
      <c r="B97" s="41"/>
      <c r="L97" s="38"/>
    </row>
    <row r="98" spans="2:12" s="19" customFormat="1" x14ac:dyDescent="0.35">
      <c r="B98" s="41"/>
      <c r="L98" s="38"/>
    </row>
    <row r="99" spans="2:12" s="19" customFormat="1" x14ac:dyDescent="0.35">
      <c r="B99" s="41"/>
      <c r="L99" s="38"/>
    </row>
    <row r="100" spans="2:12" s="19" customFormat="1" x14ac:dyDescent="0.35">
      <c r="B100" s="41"/>
      <c r="L100" s="38"/>
    </row>
    <row r="101" spans="2:12" s="19" customFormat="1" x14ac:dyDescent="0.35">
      <c r="B101" s="41"/>
      <c r="L101" s="38"/>
    </row>
    <row r="102" spans="2:12" s="19" customFormat="1" x14ac:dyDescent="0.35">
      <c r="B102" s="41"/>
      <c r="L102" s="38"/>
    </row>
    <row r="103" spans="2:12" s="19" customFormat="1" x14ac:dyDescent="0.35">
      <c r="B103" s="41"/>
      <c r="L103" s="38"/>
    </row>
    <row r="104" spans="2:12" s="19" customFormat="1" x14ac:dyDescent="0.35">
      <c r="B104" s="41"/>
      <c r="L104" s="38"/>
    </row>
    <row r="105" spans="2:12" s="19" customFormat="1" x14ac:dyDescent="0.35">
      <c r="B105" s="41"/>
      <c r="L105" s="38"/>
    </row>
    <row r="106" spans="2:12" s="19" customFormat="1" x14ac:dyDescent="0.35">
      <c r="B106" s="41"/>
      <c r="L106" s="38"/>
    </row>
    <row r="107" spans="2:12" s="19" customFormat="1" x14ac:dyDescent="0.35">
      <c r="B107" s="41"/>
      <c r="L107" s="38"/>
    </row>
    <row r="108" spans="2:12" s="19" customFormat="1" x14ac:dyDescent="0.35">
      <c r="B108" s="41"/>
      <c r="L108" s="38"/>
    </row>
    <row r="109" spans="2:12" s="19" customFormat="1" x14ac:dyDescent="0.35">
      <c r="B109" s="41"/>
      <c r="L109" s="38"/>
    </row>
    <row r="110" spans="2:12" s="19" customFormat="1" x14ac:dyDescent="0.35">
      <c r="B110" s="41"/>
      <c r="L110" s="38"/>
    </row>
    <row r="111" spans="2:12" s="19" customFormat="1" x14ac:dyDescent="0.35">
      <c r="B111" s="41"/>
      <c r="L111" s="38"/>
    </row>
    <row r="112" spans="2:12" s="19" customFormat="1" x14ac:dyDescent="0.35">
      <c r="B112" s="41"/>
      <c r="L112" s="38"/>
    </row>
    <row r="113" spans="2:12" s="19" customFormat="1" x14ac:dyDescent="0.35">
      <c r="B113" s="41"/>
      <c r="L113" s="38"/>
    </row>
    <row r="114" spans="2:12" s="19" customFormat="1" x14ac:dyDescent="0.35">
      <c r="B114" s="41"/>
      <c r="L114" s="38"/>
    </row>
    <row r="115" spans="2:12" s="19" customFormat="1" x14ac:dyDescent="0.35">
      <c r="B115" s="41"/>
      <c r="L115" s="38"/>
    </row>
    <row r="116" spans="2:12" s="19" customFormat="1" x14ac:dyDescent="0.35">
      <c r="B116" s="41"/>
      <c r="L116" s="38"/>
    </row>
    <row r="117" spans="2:12" s="19" customFormat="1" x14ac:dyDescent="0.35">
      <c r="B117" s="41"/>
      <c r="L117" s="38"/>
    </row>
    <row r="118" spans="2:12" s="19" customFormat="1" x14ac:dyDescent="0.35">
      <c r="B118" s="41"/>
      <c r="L118" s="38"/>
    </row>
    <row r="119" spans="2:12" s="19" customFormat="1" x14ac:dyDescent="0.35">
      <c r="B119" s="41"/>
      <c r="L119" s="38"/>
    </row>
    <row r="120" spans="2:12" s="19" customFormat="1" x14ac:dyDescent="0.35">
      <c r="B120" s="41"/>
      <c r="L120" s="38"/>
    </row>
    <row r="121" spans="2:12" s="19" customFormat="1" x14ac:dyDescent="0.35">
      <c r="B121" s="41"/>
      <c r="L121" s="38"/>
    </row>
    <row r="122" spans="2:12" s="19" customFormat="1" x14ac:dyDescent="0.35">
      <c r="B122" s="41"/>
      <c r="L122" s="38"/>
    </row>
    <row r="123" spans="2:12" s="19" customFormat="1" x14ac:dyDescent="0.35">
      <c r="B123" s="41"/>
      <c r="L123" s="38"/>
    </row>
    <row r="124" spans="2:12" s="19" customFormat="1" x14ac:dyDescent="0.35">
      <c r="B124" s="41"/>
      <c r="L124" s="38"/>
    </row>
    <row r="125" spans="2:12" s="19" customFormat="1" x14ac:dyDescent="0.35">
      <c r="B125" s="41"/>
      <c r="L125" s="38"/>
    </row>
    <row r="126" spans="2:12" s="19" customFormat="1" x14ac:dyDescent="0.35">
      <c r="B126" s="41"/>
      <c r="L126" s="38"/>
    </row>
    <row r="127" spans="2:12" s="19" customFormat="1" x14ac:dyDescent="0.35">
      <c r="B127" s="41"/>
      <c r="L127" s="38"/>
    </row>
    <row r="128" spans="2:12" s="19" customFormat="1" x14ac:dyDescent="0.35">
      <c r="B128" s="41"/>
      <c r="L128" s="38"/>
    </row>
    <row r="129" spans="2:12" s="19" customFormat="1" x14ac:dyDescent="0.35">
      <c r="B129" s="41"/>
      <c r="L129" s="38"/>
    </row>
    <row r="130" spans="2:12" s="19" customFormat="1" x14ac:dyDescent="0.35">
      <c r="B130" s="41"/>
      <c r="L130" s="38"/>
    </row>
    <row r="131" spans="2:12" s="19" customFormat="1" x14ac:dyDescent="0.35">
      <c r="B131" s="41"/>
      <c r="L131" s="38"/>
    </row>
    <row r="132" spans="2:12" s="19" customFormat="1" x14ac:dyDescent="0.35">
      <c r="B132" s="41"/>
      <c r="L132" s="38"/>
    </row>
    <row r="133" spans="2:12" s="19" customFormat="1" x14ac:dyDescent="0.35">
      <c r="B133" s="41"/>
      <c r="L133" s="38"/>
    </row>
    <row r="134" spans="2:12" s="19" customFormat="1" x14ac:dyDescent="0.35">
      <c r="B134" s="41"/>
      <c r="L134" s="38"/>
    </row>
    <row r="135" spans="2:12" s="19" customFormat="1" x14ac:dyDescent="0.35">
      <c r="B135" s="41"/>
      <c r="L135" s="38"/>
    </row>
    <row r="136" spans="2:12" s="19" customFormat="1" x14ac:dyDescent="0.35">
      <c r="B136" s="41"/>
      <c r="L136" s="38"/>
    </row>
    <row r="137" spans="2:12" s="19" customFormat="1" x14ac:dyDescent="0.35">
      <c r="B137" s="41"/>
      <c r="L137" s="38"/>
    </row>
    <row r="138" spans="2:12" s="19" customFormat="1" x14ac:dyDescent="0.35">
      <c r="B138" s="41"/>
      <c r="L138" s="38"/>
    </row>
    <row r="139" spans="2:12" s="19" customFormat="1" x14ac:dyDescent="0.35">
      <c r="B139" s="41"/>
      <c r="L139" s="38"/>
    </row>
    <row r="140" spans="2:12" s="19" customFormat="1" x14ac:dyDescent="0.35">
      <c r="B140" s="41"/>
      <c r="L140" s="38"/>
    </row>
    <row r="141" spans="2:12" s="19" customFormat="1" x14ac:dyDescent="0.35">
      <c r="B141" s="41"/>
      <c r="L141" s="38"/>
    </row>
    <row r="142" spans="2:12" s="19" customFormat="1" x14ac:dyDescent="0.35">
      <c r="B142" s="41"/>
      <c r="L142" s="38"/>
    </row>
    <row r="143" spans="2:12" s="19" customFormat="1" x14ac:dyDescent="0.35">
      <c r="B143" s="41"/>
      <c r="L143" s="38"/>
    </row>
    <row r="144" spans="2:12" s="19" customFormat="1" x14ac:dyDescent="0.35">
      <c r="B144" s="41"/>
      <c r="L144" s="38"/>
    </row>
    <row r="145" spans="2:12" s="19" customFormat="1" x14ac:dyDescent="0.35">
      <c r="B145" s="41"/>
      <c r="L145" s="38"/>
    </row>
    <row r="146" spans="2:12" s="19" customFormat="1" x14ac:dyDescent="0.35">
      <c r="B146" s="41"/>
      <c r="L146" s="38"/>
    </row>
    <row r="147" spans="2:12" s="19" customFormat="1" x14ac:dyDescent="0.35">
      <c r="B147" s="41"/>
      <c r="L147" s="38"/>
    </row>
    <row r="148" spans="2:12" s="19" customFormat="1" x14ac:dyDescent="0.35">
      <c r="B148" s="41"/>
      <c r="L148" s="38"/>
    </row>
    <row r="149" spans="2:12" s="19" customFormat="1" x14ac:dyDescent="0.35">
      <c r="B149" s="41"/>
      <c r="L149" s="38"/>
    </row>
    <row r="150" spans="2:12" s="19" customFormat="1" x14ac:dyDescent="0.35">
      <c r="B150" s="41"/>
      <c r="L150" s="38"/>
    </row>
    <row r="151" spans="2:12" s="19" customFormat="1" x14ac:dyDescent="0.35">
      <c r="B151" s="41"/>
      <c r="L151" s="38"/>
    </row>
    <row r="152" spans="2:12" s="19" customFormat="1" x14ac:dyDescent="0.35">
      <c r="B152" s="41"/>
      <c r="L152" s="38"/>
    </row>
    <row r="153" spans="2:12" s="19" customFormat="1" x14ac:dyDescent="0.35">
      <c r="B153" s="41"/>
      <c r="L153" s="38"/>
    </row>
    <row r="154" spans="2:12" s="19" customFormat="1" x14ac:dyDescent="0.35">
      <c r="B154" s="41"/>
      <c r="L154" s="38"/>
    </row>
    <row r="155" spans="2:12" s="19" customFormat="1" x14ac:dyDescent="0.35">
      <c r="B155" s="41"/>
      <c r="L155" s="38"/>
    </row>
    <row r="156" spans="2:12" s="19" customFormat="1" x14ac:dyDescent="0.35">
      <c r="B156" s="41"/>
      <c r="L156" s="38"/>
    </row>
    <row r="157" spans="2:12" s="19" customFormat="1" x14ac:dyDescent="0.35">
      <c r="B157" s="41"/>
      <c r="L157" s="38"/>
    </row>
    <row r="158" spans="2:12" s="19" customFormat="1" x14ac:dyDescent="0.35">
      <c r="B158" s="41"/>
      <c r="L158" s="38"/>
    </row>
    <row r="159" spans="2:12" s="19" customFormat="1" x14ac:dyDescent="0.35">
      <c r="B159" s="41"/>
      <c r="L159" s="38"/>
    </row>
    <row r="160" spans="2:12" s="19" customFormat="1" x14ac:dyDescent="0.35">
      <c r="B160" s="41"/>
      <c r="L160" s="38"/>
    </row>
    <row r="161" spans="2:12" s="19" customFormat="1" x14ac:dyDescent="0.35">
      <c r="B161" s="41"/>
      <c r="L161" s="38"/>
    </row>
    <row r="162" spans="2:12" s="19" customFormat="1" x14ac:dyDescent="0.35">
      <c r="B162" s="41"/>
      <c r="L162" s="38"/>
    </row>
    <row r="163" spans="2:12" s="19" customFormat="1" x14ac:dyDescent="0.35">
      <c r="B163" s="41"/>
      <c r="L163" s="38"/>
    </row>
    <row r="164" spans="2:12" s="19" customFormat="1" x14ac:dyDescent="0.35">
      <c r="B164" s="41"/>
      <c r="L164" s="38"/>
    </row>
    <row r="165" spans="2:12" s="19" customFormat="1" x14ac:dyDescent="0.35">
      <c r="B165" s="41"/>
      <c r="L165" s="38"/>
    </row>
    <row r="166" spans="2:12" s="19" customFormat="1" x14ac:dyDescent="0.35">
      <c r="B166" s="41"/>
      <c r="L166" s="38"/>
    </row>
    <row r="167" spans="2:12" s="19" customFormat="1" x14ac:dyDescent="0.35">
      <c r="B167" s="41"/>
      <c r="L167" s="38"/>
    </row>
    <row r="168" spans="2:12" s="19" customFormat="1" x14ac:dyDescent="0.35">
      <c r="B168" s="41"/>
      <c r="L168" s="38"/>
    </row>
    <row r="169" spans="2:12" s="19" customFormat="1" x14ac:dyDescent="0.35">
      <c r="B169" s="41"/>
      <c r="L169" s="38"/>
    </row>
    <row r="170" spans="2:12" s="19" customFormat="1" x14ac:dyDescent="0.35">
      <c r="B170" s="41"/>
      <c r="L170" s="38"/>
    </row>
    <row r="171" spans="2:12" s="19" customFormat="1" x14ac:dyDescent="0.35">
      <c r="B171" s="41"/>
      <c r="L171" s="38"/>
    </row>
    <row r="172" spans="2:12" s="19" customFormat="1" x14ac:dyDescent="0.35">
      <c r="B172" s="41"/>
      <c r="L172" s="38"/>
    </row>
    <row r="173" spans="2:12" s="19" customFormat="1" x14ac:dyDescent="0.35">
      <c r="B173" s="41"/>
      <c r="L173" s="38"/>
    </row>
    <row r="174" spans="2:12" s="19" customFormat="1" x14ac:dyDescent="0.35">
      <c r="B174" s="41"/>
      <c r="L174" s="38"/>
    </row>
    <row r="175" spans="2:12" s="19" customFormat="1" x14ac:dyDescent="0.35">
      <c r="B175" s="41"/>
      <c r="L175" s="38"/>
    </row>
    <row r="176" spans="2:12" s="19" customFormat="1" x14ac:dyDescent="0.35">
      <c r="B176" s="41"/>
      <c r="L176" s="38"/>
    </row>
    <row r="177" spans="2:12" s="19" customFormat="1" x14ac:dyDescent="0.35">
      <c r="B177" s="41"/>
      <c r="L177" s="38"/>
    </row>
    <row r="178" spans="2:12" s="19" customFormat="1" x14ac:dyDescent="0.35">
      <c r="B178" s="41"/>
      <c r="L178" s="38"/>
    </row>
    <row r="179" spans="2:12" s="19" customFormat="1" x14ac:dyDescent="0.35">
      <c r="B179" s="41"/>
      <c r="L179" s="38"/>
    </row>
    <row r="180" spans="2:12" s="19" customFormat="1" x14ac:dyDescent="0.35">
      <c r="B180" s="41"/>
      <c r="L180" s="38"/>
    </row>
    <row r="181" spans="2:12" s="19" customFormat="1" x14ac:dyDescent="0.35">
      <c r="B181" s="41"/>
      <c r="L181" s="38"/>
    </row>
    <row r="182" spans="2:12" s="19" customFormat="1" x14ac:dyDescent="0.35">
      <c r="B182" s="41"/>
      <c r="L182" s="38"/>
    </row>
    <row r="183" spans="2:12" s="19" customFormat="1" x14ac:dyDescent="0.35">
      <c r="B183" s="41"/>
      <c r="L183" s="38"/>
    </row>
    <row r="184" spans="2:12" s="19" customFormat="1" x14ac:dyDescent="0.35">
      <c r="B184" s="41"/>
      <c r="L184" s="38"/>
    </row>
    <row r="185" spans="2:12" s="19" customFormat="1" x14ac:dyDescent="0.35">
      <c r="B185" s="41"/>
      <c r="L185" s="38"/>
    </row>
    <row r="186" spans="2:12" s="19" customFormat="1" x14ac:dyDescent="0.35">
      <c r="B186" s="41"/>
      <c r="L186" s="38"/>
    </row>
    <row r="187" spans="2:12" s="19" customFormat="1" x14ac:dyDescent="0.35">
      <c r="B187" s="41"/>
      <c r="L187" s="38"/>
    </row>
    <row r="188" spans="2:12" s="19" customFormat="1" x14ac:dyDescent="0.35">
      <c r="B188" s="41"/>
      <c r="L188" s="38"/>
    </row>
    <row r="189" spans="2:12" s="19" customFormat="1" x14ac:dyDescent="0.35">
      <c r="B189" s="41"/>
      <c r="L189" s="38"/>
    </row>
    <row r="190" spans="2:12" s="19" customFormat="1" x14ac:dyDescent="0.35">
      <c r="B190" s="41"/>
      <c r="L190" s="38"/>
    </row>
    <row r="191" spans="2:12" s="19" customFormat="1" x14ac:dyDescent="0.35">
      <c r="B191" s="41"/>
      <c r="L191" s="38"/>
    </row>
    <row r="192" spans="2:12" s="19" customFormat="1" x14ac:dyDescent="0.35">
      <c r="B192" s="41"/>
      <c r="L192" s="38"/>
    </row>
    <row r="193" spans="2:12" s="19" customFormat="1" x14ac:dyDescent="0.35">
      <c r="B193" s="41"/>
      <c r="L193" s="38"/>
    </row>
    <row r="194" spans="2:12" s="19" customFormat="1" x14ac:dyDescent="0.35">
      <c r="B194" s="41"/>
      <c r="L194" s="38"/>
    </row>
    <row r="195" spans="2:12" s="19" customFormat="1" x14ac:dyDescent="0.35">
      <c r="B195" s="41"/>
      <c r="L195" s="38"/>
    </row>
    <row r="196" spans="2:12" s="19" customFormat="1" x14ac:dyDescent="0.35">
      <c r="B196" s="41"/>
      <c r="L196" s="38"/>
    </row>
    <row r="197" spans="2:12" s="19" customFormat="1" x14ac:dyDescent="0.35">
      <c r="B197" s="41"/>
      <c r="L197" s="38"/>
    </row>
    <row r="198" spans="2:12" s="19" customFormat="1" x14ac:dyDescent="0.35">
      <c r="B198" s="41"/>
      <c r="L198" s="38"/>
    </row>
    <row r="199" spans="2:12" s="19" customFormat="1" x14ac:dyDescent="0.35">
      <c r="B199" s="41"/>
      <c r="L199" s="38"/>
    </row>
    <row r="200" spans="2:12" s="19" customFormat="1" x14ac:dyDescent="0.35">
      <c r="B200" s="41"/>
      <c r="L200" s="38"/>
    </row>
    <row r="201" spans="2:12" s="19" customFormat="1" x14ac:dyDescent="0.35">
      <c r="B201" s="41"/>
      <c r="L201" s="38"/>
    </row>
    <row r="202" spans="2:12" s="19" customFormat="1" x14ac:dyDescent="0.35">
      <c r="B202" s="41"/>
      <c r="L202" s="38"/>
    </row>
    <row r="203" spans="2:12" s="19" customFormat="1" x14ac:dyDescent="0.35">
      <c r="B203" s="41"/>
      <c r="L203" s="38"/>
    </row>
    <row r="204" spans="2:12" s="19" customFormat="1" x14ac:dyDescent="0.35">
      <c r="B204" s="41"/>
      <c r="L204" s="38"/>
    </row>
    <row r="205" spans="2:12" s="19" customFormat="1" x14ac:dyDescent="0.35">
      <c r="B205" s="41"/>
      <c r="L205" s="38"/>
    </row>
    <row r="206" spans="2:12" s="19" customFormat="1" x14ac:dyDescent="0.35">
      <c r="B206" s="41"/>
      <c r="L206" s="38"/>
    </row>
    <row r="207" spans="2:12" s="19" customFormat="1" x14ac:dyDescent="0.35">
      <c r="B207" s="41"/>
      <c r="L207" s="38"/>
    </row>
    <row r="208" spans="2:12" s="19" customFormat="1" x14ac:dyDescent="0.35">
      <c r="B208" s="41"/>
      <c r="L208" s="38"/>
    </row>
    <row r="209" spans="2:12" s="19" customFormat="1" x14ac:dyDescent="0.35">
      <c r="B209" s="41"/>
      <c r="L209" s="38"/>
    </row>
    <row r="210" spans="2:12" s="19" customFormat="1" x14ac:dyDescent="0.35">
      <c r="B210" s="41"/>
      <c r="L210" s="38"/>
    </row>
    <row r="211" spans="2:12" s="19" customFormat="1" x14ac:dyDescent="0.35">
      <c r="B211" s="41"/>
      <c r="L211" s="38"/>
    </row>
    <row r="212" spans="2:12" s="19" customFormat="1" x14ac:dyDescent="0.35">
      <c r="B212" s="41"/>
      <c r="L212" s="38"/>
    </row>
    <row r="213" spans="2:12" s="19" customFormat="1" x14ac:dyDescent="0.35">
      <c r="B213" s="41"/>
      <c r="L213" s="38"/>
    </row>
    <row r="214" spans="2:12" s="19" customFormat="1" x14ac:dyDescent="0.35">
      <c r="B214" s="41"/>
      <c r="L214" s="38"/>
    </row>
    <row r="215" spans="2:12" s="19" customFormat="1" x14ac:dyDescent="0.35">
      <c r="B215" s="41"/>
      <c r="L215" s="38"/>
    </row>
    <row r="216" spans="2:12" s="19" customFormat="1" x14ac:dyDescent="0.35">
      <c r="B216" s="41"/>
      <c r="L216" s="38"/>
    </row>
    <row r="217" spans="2:12" s="19" customFormat="1" x14ac:dyDescent="0.35">
      <c r="B217" s="41"/>
      <c r="L217" s="38"/>
    </row>
    <row r="218" spans="2:12" s="19" customFormat="1" x14ac:dyDescent="0.35">
      <c r="B218" s="41"/>
      <c r="L218" s="38"/>
    </row>
    <row r="219" spans="2:12" s="19" customFormat="1" x14ac:dyDescent="0.35">
      <c r="B219" s="41"/>
      <c r="L219" s="38"/>
    </row>
    <row r="220" spans="2:12" s="19" customFormat="1" x14ac:dyDescent="0.35">
      <c r="B220" s="41"/>
      <c r="L220" s="38"/>
    </row>
    <row r="221" spans="2:12" s="19" customFormat="1" x14ac:dyDescent="0.35">
      <c r="B221" s="41"/>
      <c r="L221" s="38"/>
    </row>
    <row r="222" spans="2:12" s="19" customFormat="1" x14ac:dyDescent="0.35">
      <c r="B222" s="41"/>
      <c r="L222" s="38"/>
    </row>
    <row r="223" spans="2:12" s="19" customFormat="1" x14ac:dyDescent="0.35">
      <c r="B223" s="41"/>
      <c r="L223" s="38"/>
    </row>
    <row r="224" spans="2:12" s="19" customFormat="1" x14ac:dyDescent="0.35">
      <c r="B224" s="41"/>
      <c r="L224" s="38"/>
    </row>
    <row r="225" spans="2:12" s="19" customFormat="1" x14ac:dyDescent="0.35">
      <c r="B225" s="41"/>
      <c r="L225" s="38"/>
    </row>
    <row r="226" spans="2:12" s="19" customFormat="1" x14ac:dyDescent="0.35">
      <c r="B226" s="41"/>
      <c r="L226" s="38"/>
    </row>
    <row r="227" spans="2:12" s="19" customFormat="1" x14ac:dyDescent="0.35">
      <c r="B227" s="41"/>
      <c r="L227" s="38"/>
    </row>
    <row r="228" spans="2:12" s="19" customFormat="1" x14ac:dyDescent="0.35">
      <c r="B228" s="41"/>
      <c r="L228" s="38"/>
    </row>
    <row r="229" spans="2:12" s="19" customFormat="1" x14ac:dyDescent="0.35">
      <c r="B229" s="41"/>
      <c r="L229" s="38"/>
    </row>
    <row r="230" spans="2:12" s="19" customFormat="1" x14ac:dyDescent="0.35">
      <c r="B230" s="41"/>
      <c r="L230" s="38"/>
    </row>
    <row r="231" spans="2:12" s="19" customFormat="1" x14ac:dyDescent="0.35">
      <c r="B231" s="41"/>
      <c r="L231" s="38"/>
    </row>
    <row r="232" spans="2:12" s="19" customFormat="1" x14ac:dyDescent="0.35">
      <c r="B232" s="41"/>
      <c r="L232" s="38"/>
    </row>
    <row r="233" spans="2:12" s="19" customFormat="1" x14ac:dyDescent="0.35">
      <c r="B233" s="41"/>
      <c r="L233" s="38"/>
    </row>
    <row r="234" spans="2:12" s="19" customFormat="1" x14ac:dyDescent="0.35">
      <c r="B234" s="41"/>
      <c r="L234" s="38"/>
    </row>
    <row r="235" spans="2:12" s="19" customFormat="1" x14ac:dyDescent="0.35">
      <c r="B235" s="41"/>
      <c r="L235" s="38"/>
    </row>
    <row r="236" spans="2:12" s="19" customFormat="1" x14ac:dyDescent="0.35">
      <c r="B236" s="41"/>
      <c r="L236" s="38"/>
    </row>
    <row r="237" spans="2:12" s="19" customFormat="1" x14ac:dyDescent="0.35">
      <c r="B237" s="41"/>
      <c r="L237" s="38"/>
    </row>
    <row r="238" spans="2:12" s="19" customFormat="1" x14ac:dyDescent="0.35">
      <c r="B238" s="41"/>
      <c r="L238" s="38"/>
    </row>
    <row r="239" spans="2:12" s="19" customFormat="1" x14ac:dyDescent="0.35">
      <c r="B239" s="41"/>
      <c r="L239" s="38"/>
    </row>
    <row r="240" spans="2:12" s="19" customFormat="1" x14ac:dyDescent="0.35">
      <c r="B240" s="41"/>
      <c r="L240" s="38"/>
    </row>
    <row r="241" spans="2:12" s="19" customFormat="1" x14ac:dyDescent="0.35">
      <c r="B241" s="41"/>
      <c r="L241" s="38"/>
    </row>
    <row r="242" spans="2:12" s="19" customFormat="1" x14ac:dyDescent="0.35">
      <c r="B242" s="41"/>
      <c r="L242" s="38"/>
    </row>
    <row r="243" spans="2:12" s="19" customFormat="1" x14ac:dyDescent="0.35">
      <c r="B243" s="41"/>
      <c r="L243" s="38"/>
    </row>
    <row r="244" spans="2:12" s="19" customFormat="1" x14ac:dyDescent="0.35">
      <c r="B244" s="41"/>
      <c r="L244" s="38"/>
    </row>
    <row r="245" spans="2:12" s="19" customFormat="1" x14ac:dyDescent="0.35">
      <c r="B245" s="41"/>
      <c r="L245" s="38"/>
    </row>
    <row r="246" spans="2:12" s="19" customFormat="1" x14ac:dyDescent="0.35">
      <c r="B246" s="41"/>
      <c r="L246" s="38"/>
    </row>
    <row r="247" spans="2:12" s="19" customFormat="1" x14ac:dyDescent="0.35">
      <c r="B247" s="41"/>
      <c r="L247" s="38"/>
    </row>
    <row r="248" spans="2:12" s="19" customFormat="1" x14ac:dyDescent="0.35">
      <c r="B248" s="41"/>
      <c r="L248" s="38"/>
    </row>
    <row r="249" spans="2:12" s="19" customFormat="1" x14ac:dyDescent="0.35">
      <c r="B249" s="41"/>
      <c r="L249" s="38"/>
    </row>
    <row r="250" spans="2:12" s="19" customFormat="1" x14ac:dyDescent="0.35">
      <c r="B250" s="41"/>
      <c r="L250" s="38"/>
    </row>
    <row r="251" spans="2:12" s="19" customFormat="1" x14ac:dyDescent="0.35">
      <c r="B251" s="41"/>
      <c r="L251" s="38"/>
    </row>
    <row r="252" spans="2:12" s="19" customFormat="1" x14ac:dyDescent="0.35">
      <c r="B252" s="41"/>
      <c r="L252" s="38"/>
    </row>
    <row r="253" spans="2:12" s="19" customFormat="1" x14ac:dyDescent="0.35">
      <c r="B253" s="41"/>
      <c r="L253" s="38"/>
    </row>
    <row r="254" spans="2:12" s="19" customFormat="1" x14ac:dyDescent="0.35">
      <c r="B254" s="41"/>
      <c r="L254" s="38"/>
    </row>
    <row r="255" spans="2:12" s="19" customFormat="1" x14ac:dyDescent="0.35">
      <c r="B255" s="41"/>
      <c r="L255" s="38"/>
    </row>
    <row r="256" spans="2:12" s="19" customFormat="1" x14ac:dyDescent="0.35">
      <c r="B256" s="41"/>
      <c r="L256" s="38"/>
    </row>
    <row r="257" spans="2:12" s="19" customFormat="1" x14ac:dyDescent="0.35">
      <c r="B257" s="41"/>
      <c r="L257" s="38"/>
    </row>
    <row r="258" spans="2:12" s="19" customFormat="1" x14ac:dyDescent="0.35">
      <c r="B258" s="41"/>
      <c r="L258" s="38"/>
    </row>
    <row r="259" spans="2:12" s="19" customFormat="1" x14ac:dyDescent="0.35">
      <c r="B259" s="41"/>
      <c r="L259" s="38"/>
    </row>
    <row r="260" spans="2:12" s="19" customFormat="1" x14ac:dyDescent="0.35">
      <c r="B260" s="41"/>
      <c r="L260" s="38"/>
    </row>
    <row r="261" spans="2:12" s="19" customFormat="1" x14ac:dyDescent="0.35">
      <c r="B261" s="41"/>
      <c r="L261" s="38"/>
    </row>
    <row r="262" spans="2:12" s="19" customFormat="1" x14ac:dyDescent="0.35">
      <c r="B262" s="41"/>
      <c r="L262" s="38"/>
    </row>
    <row r="263" spans="2:12" s="19" customFormat="1" x14ac:dyDescent="0.35">
      <c r="B263" s="41"/>
      <c r="L263" s="38"/>
    </row>
    <row r="264" spans="2:12" s="19" customFormat="1" x14ac:dyDescent="0.35">
      <c r="B264" s="41"/>
      <c r="L264" s="38"/>
    </row>
    <row r="265" spans="2:12" s="19" customFormat="1" x14ac:dyDescent="0.35">
      <c r="B265" s="41"/>
      <c r="L265" s="38"/>
    </row>
    <row r="266" spans="2:12" s="19" customFormat="1" x14ac:dyDescent="0.35">
      <c r="B266" s="41"/>
      <c r="L266" s="38"/>
    </row>
    <row r="267" spans="2:12" s="19" customFormat="1" x14ac:dyDescent="0.35">
      <c r="B267" s="41"/>
      <c r="L267" s="38"/>
    </row>
    <row r="268" spans="2:12" s="19" customFormat="1" x14ac:dyDescent="0.35">
      <c r="B268" s="41"/>
      <c r="L268" s="38"/>
    </row>
    <row r="269" spans="2:12" s="19" customFormat="1" x14ac:dyDescent="0.35">
      <c r="B269" s="41"/>
      <c r="L269" s="38"/>
    </row>
    <row r="270" spans="2:12" s="19" customFormat="1" x14ac:dyDescent="0.35">
      <c r="B270" s="41"/>
      <c r="L270" s="38"/>
    </row>
    <row r="271" spans="2:12" s="19" customFormat="1" x14ac:dyDescent="0.35">
      <c r="B271" s="41"/>
      <c r="L271" s="38"/>
    </row>
    <row r="272" spans="2:12" s="19" customFormat="1" x14ac:dyDescent="0.35">
      <c r="B272" s="41"/>
      <c r="L272" s="38"/>
    </row>
    <row r="273" spans="2:12" s="19" customFormat="1" x14ac:dyDescent="0.35">
      <c r="B273" s="41"/>
      <c r="L273" s="38"/>
    </row>
    <row r="274" spans="2:12" s="19" customFormat="1" x14ac:dyDescent="0.35">
      <c r="B274" s="41"/>
      <c r="L274" s="38"/>
    </row>
    <row r="275" spans="2:12" s="19" customFormat="1" x14ac:dyDescent="0.35">
      <c r="B275" s="41"/>
      <c r="L275" s="38"/>
    </row>
    <row r="276" spans="2:12" s="19" customFormat="1" x14ac:dyDescent="0.35">
      <c r="B276" s="41"/>
      <c r="L276" s="38"/>
    </row>
    <row r="277" spans="2:12" s="19" customFormat="1" x14ac:dyDescent="0.35">
      <c r="B277" s="41"/>
      <c r="L277" s="38"/>
    </row>
    <row r="278" spans="2:12" s="19" customFormat="1" x14ac:dyDescent="0.35">
      <c r="B278" s="41"/>
      <c r="L278" s="38"/>
    </row>
    <row r="279" spans="2:12" s="19" customFormat="1" x14ac:dyDescent="0.35">
      <c r="B279" s="41"/>
      <c r="L279" s="38"/>
    </row>
    <row r="280" spans="2:12" s="19" customFormat="1" x14ac:dyDescent="0.35">
      <c r="B280" s="41"/>
      <c r="L280" s="38"/>
    </row>
    <row r="281" spans="2:12" s="19" customFormat="1" x14ac:dyDescent="0.35">
      <c r="B281" s="41"/>
      <c r="L281" s="38"/>
    </row>
    <row r="282" spans="2:12" s="19" customFormat="1" x14ac:dyDescent="0.35">
      <c r="B282" s="41"/>
      <c r="L282" s="38"/>
    </row>
    <row r="283" spans="2:12" s="19" customFormat="1" x14ac:dyDescent="0.35">
      <c r="B283" s="41"/>
      <c r="L283" s="38"/>
    </row>
    <row r="284" spans="2:12" s="19" customFormat="1" x14ac:dyDescent="0.35">
      <c r="B284" s="41"/>
      <c r="L284" s="38"/>
    </row>
    <row r="285" spans="2:12" s="19" customFormat="1" x14ac:dyDescent="0.35">
      <c r="B285" s="41"/>
      <c r="L285" s="38"/>
    </row>
    <row r="286" spans="2:12" s="19" customFormat="1" x14ac:dyDescent="0.35">
      <c r="B286" s="41"/>
      <c r="L286" s="38"/>
    </row>
    <row r="287" spans="2:12" s="19" customFormat="1" x14ac:dyDescent="0.35">
      <c r="B287" s="41"/>
      <c r="L287" s="38"/>
    </row>
    <row r="288" spans="2:12" s="19" customFormat="1" x14ac:dyDescent="0.35">
      <c r="B288" s="41"/>
      <c r="L288" s="38"/>
    </row>
    <row r="289" spans="2:12" s="19" customFormat="1" x14ac:dyDescent="0.35">
      <c r="B289" s="41"/>
      <c r="L289" s="38"/>
    </row>
    <row r="290" spans="2:12" s="19" customFormat="1" x14ac:dyDescent="0.35">
      <c r="B290" s="41"/>
      <c r="L290" s="38"/>
    </row>
    <row r="291" spans="2:12" s="19" customFormat="1" x14ac:dyDescent="0.35">
      <c r="B291" s="41"/>
      <c r="L291" s="38"/>
    </row>
    <row r="292" spans="2:12" s="19" customFormat="1" x14ac:dyDescent="0.35">
      <c r="B292" s="41"/>
      <c r="L292" s="38"/>
    </row>
    <row r="293" spans="2:12" s="19" customFormat="1" x14ac:dyDescent="0.35">
      <c r="B293" s="41"/>
      <c r="L293" s="38"/>
    </row>
    <row r="294" spans="2:12" s="19" customFormat="1" x14ac:dyDescent="0.35">
      <c r="B294" s="41"/>
      <c r="L294" s="38"/>
    </row>
    <row r="295" spans="2:12" s="19" customFormat="1" x14ac:dyDescent="0.35">
      <c r="B295" s="41"/>
      <c r="L295" s="38"/>
    </row>
    <row r="296" spans="2:12" s="19" customFormat="1" x14ac:dyDescent="0.35">
      <c r="B296" s="41"/>
      <c r="L296" s="38"/>
    </row>
    <row r="297" spans="2:12" s="19" customFormat="1" x14ac:dyDescent="0.35">
      <c r="B297" s="41"/>
      <c r="L297" s="38"/>
    </row>
    <row r="298" spans="2:12" s="19" customFormat="1" x14ac:dyDescent="0.35">
      <c r="B298" s="41"/>
      <c r="L298" s="38"/>
    </row>
    <row r="299" spans="2:12" s="19" customFormat="1" x14ac:dyDescent="0.35">
      <c r="B299" s="41"/>
      <c r="L299" s="38"/>
    </row>
    <row r="300" spans="2:12" s="19" customFormat="1" x14ac:dyDescent="0.35">
      <c r="B300" s="41"/>
      <c r="L300" s="38"/>
    </row>
    <row r="301" spans="2:12" s="19" customFormat="1" x14ac:dyDescent="0.35">
      <c r="B301" s="41"/>
      <c r="L301" s="38"/>
    </row>
    <row r="302" spans="2:12" s="19" customFormat="1" x14ac:dyDescent="0.35">
      <c r="B302" s="41"/>
      <c r="L302" s="38"/>
    </row>
    <row r="303" spans="2:12" s="19" customFormat="1" x14ac:dyDescent="0.35">
      <c r="B303" s="41"/>
      <c r="L303" s="38"/>
    </row>
    <row r="304" spans="2:12" s="19" customFormat="1" x14ac:dyDescent="0.35">
      <c r="B304" s="41"/>
      <c r="L304" s="38"/>
    </row>
    <row r="305" spans="2:12" s="19" customFormat="1" x14ac:dyDescent="0.35">
      <c r="B305" s="41"/>
      <c r="L305" s="38"/>
    </row>
    <row r="306" spans="2:12" s="19" customFormat="1" x14ac:dyDescent="0.35">
      <c r="B306" s="41"/>
      <c r="L306" s="38"/>
    </row>
    <row r="307" spans="2:12" s="19" customFormat="1" x14ac:dyDescent="0.35">
      <c r="B307" s="41"/>
      <c r="L307" s="38"/>
    </row>
    <row r="308" spans="2:12" s="19" customFormat="1" x14ac:dyDescent="0.35">
      <c r="B308" s="41"/>
      <c r="L308" s="38"/>
    </row>
    <row r="309" spans="2:12" s="19" customFormat="1" x14ac:dyDescent="0.35">
      <c r="B309" s="41"/>
      <c r="L309" s="38"/>
    </row>
    <row r="310" spans="2:12" s="19" customFormat="1" x14ac:dyDescent="0.35">
      <c r="B310" s="41"/>
      <c r="L310" s="38"/>
    </row>
    <row r="311" spans="2:12" s="19" customFormat="1" x14ac:dyDescent="0.35">
      <c r="B311" s="41"/>
      <c r="L311" s="38"/>
    </row>
    <row r="312" spans="2:12" s="19" customFormat="1" x14ac:dyDescent="0.35">
      <c r="B312" s="41"/>
      <c r="L312" s="38"/>
    </row>
    <row r="313" spans="2:12" s="19" customFormat="1" x14ac:dyDescent="0.35">
      <c r="B313" s="41"/>
      <c r="L313" s="38"/>
    </row>
    <row r="314" spans="2:12" s="19" customFormat="1" x14ac:dyDescent="0.35">
      <c r="B314" s="41"/>
      <c r="L314" s="38"/>
    </row>
    <row r="315" spans="2:12" s="19" customFormat="1" x14ac:dyDescent="0.35">
      <c r="B315" s="41"/>
      <c r="L315" s="38"/>
    </row>
    <row r="316" spans="2:12" s="19" customFormat="1" x14ac:dyDescent="0.35">
      <c r="B316" s="41"/>
      <c r="L316" s="38"/>
    </row>
    <row r="317" spans="2:12" s="19" customFormat="1" x14ac:dyDescent="0.35">
      <c r="B317" s="41"/>
      <c r="L317" s="38"/>
    </row>
    <row r="318" spans="2:12" s="19" customFormat="1" x14ac:dyDescent="0.35">
      <c r="B318" s="41"/>
      <c r="L318" s="38"/>
    </row>
    <row r="319" spans="2:12" s="19" customFormat="1" x14ac:dyDescent="0.35">
      <c r="B319" s="41"/>
      <c r="L319" s="38"/>
    </row>
    <row r="320" spans="2:12" s="19" customFormat="1" x14ac:dyDescent="0.35">
      <c r="B320" s="41"/>
      <c r="L320" s="38"/>
    </row>
    <row r="321" spans="2:12" s="19" customFormat="1" x14ac:dyDescent="0.35">
      <c r="B321" s="41"/>
      <c r="L321" s="38"/>
    </row>
    <row r="322" spans="2:12" s="19" customFormat="1" x14ac:dyDescent="0.35">
      <c r="B322" s="41"/>
      <c r="L322" s="38"/>
    </row>
    <row r="323" spans="2:12" s="19" customFormat="1" x14ac:dyDescent="0.35">
      <c r="B323" s="41"/>
      <c r="L323" s="38"/>
    </row>
    <row r="324" spans="2:12" s="19" customFormat="1" x14ac:dyDescent="0.35">
      <c r="B324" s="41"/>
      <c r="L324" s="38"/>
    </row>
    <row r="325" spans="2:12" s="19" customFormat="1" x14ac:dyDescent="0.35">
      <c r="B325" s="41"/>
      <c r="L325" s="38"/>
    </row>
    <row r="326" spans="2:12" s="19" customFormat="1" x14ac:dyDescent="0.35">
      <c r="B326" s="41"/>
      <c r="L326" s="38"/>
    </row>
    <row r="327" spans="2:12" s="19" customFormat="1" x14ac:dyDescent="0.35">
      <c r="B327" s="41"/>
      <c r="L327" s="38"/>
    </row>
    <row r="328" spans="2:12" s="19" customFormat="1" x14ac:dyDescent="0.35">
      <c r="B328" s="41"/>
      <c r="L328" s="38"/>
    </row>
    <row r="329" spans="2:12" s="19" customFormat="1" x14ac:dyDescent="0.35">
      <c r="B329" s="41"/>
      <c r="L329" s="38"/>
    </row>
    <row r="330" spans="2:12" s="19" customFormat="1" x14ac:dyDescent="0.35">
      <c r="B330" s="41"/>
      <c r="L330" s="38"/>
    </row>
    <row r="331" spans="2:12" s="19" customFormat="1" x14ac:dyDescent="0.35">
      <c r="B331" s="41"/>
      <c r="L331" s="38"/>
    </row>
    <row r="332" spans="2:12" s="19" customFormat="1" x14ac:dyDescent="0.35">
      <c r="B332" s="41"/>
      <c r="L332" s="38"/>
    </row>
    <row r="333" spans="2:12" s="19" customFormat="1" x14ac:dyDescent="0.35">
      <c r="B333" s="41"/>
      <c r="L333" s="38"/>
    </row>
    <row r="334" spans="2:12" s="19" customFormat="1" x14ac:dyDescent="0.35">
      <c r="B334" s="41"/>
      <c r="L334" s="38"/>
    </row>
    <row r="335" spans="2:12" s="19" customFormat="1" x14ac:dyDescent="0.35">
      <c r="B335" s="41"/>
      <c r="L335" s="38"/>
    </row>
    <row r="336" spans="2:12" s="19" customFormat="1" x14ac:dyDescent="0.35">
      <c r="B336" s="41"/>
      <c r="L336" s="38"/>
    </row>
    <row r="337" spans="2:12" s="19" customFormat="1" x14ac:dyDescent="0.35">
      <c r="B337" s="41"/>
      <c r="L337" s="38"/>
    </row>
    <row r="338" spans="2:12" s="19" customFormat="1" x14ac:dyDescent="0.35">
      <c r="B338" s="41"/>
      <c r="L338" s="38"/>
    </row>
    <row r="339" spans="2:12" s="19" customFormat="1" x14ac:dyDescent="0.35">
      <c r="B339" s="41"/>
      <c r="L339" s="38"/>
    </row>
    <row r="340" spans="2:12" s="19" customFormat="1" x14ac:dyDescent="0.35">
      <c r="B340" s="41"/>
      <c r="L340" s="38"/>
    </row>
    <row r="341" spans="2:12" s="19" customFormat="1" x14ac:dyDescent="0.35">
      <c r="B341" s="41"/>
      <c r="L341" s="38"/>
    </row>
    <row r="342" spans="2:12" s="19" customFormat="1" x14ac:dyDescent="0.35">
      <c r="B342" s="41"/>
      <c r="L342" s="38"/>
    </row>
    <row r="343" spans="2:12" s="19" customFormat="1" x14ac:dyDescent="0.35">
      <c r="B343" s="41"/>
      <c r="L343" s="38"/>
    </row>
    <row r="344" spans="2:12" s="19" customFormat="1" x14ac:dyDescent="0.35">
      <c r="B344" s="41"/>
      <c r="L344" s="38"/>
    </row>
    <row r="345" spans="2:12" s="19" customFormat="1" x14ac:dyDescent="0.35">
      <c r="B345" s="41"/>
      <c r="L345" s="38"/>
    </row>
    <row r="346" spans="2:12" s="19" customFormat="1" x14ac:dyDescent="0.35">
      <c r="B346" s="41"/>
      <c r="L346" s="38"/>
    </row>
    <row r="347" spans="2:12" s="19" customFormat="1" x14ac:dyDescent="0.35">
      <c r="B347" s="41"/>
      <c r="L347" s="38"/>
    </row>
    <row r="348" spans="2:12" s="19" customFormat="1" x14ac:dyDescent="0.35">
      <c r="B348" s="41"/>
      <c r="L348" s="38"/>
    </row>
    <row r="349" spans="2:12" s="19" customFormat="1" x14ac:dyDescent="0.35">
      <c r="B349" s="41"/>
      <c r="L349" s="38"/>
    </row>
    <row r="350" spans="2:12" s="19" customFormat="1" x14ac:dyDescent="0.35">
      <c r="B350" s="41"/>
      <c r="L350" s="38"/>
    </row>
    <row r="351" spans="2:12" s="19" customFormat="1" x14ac:dyDescent="0.35">
      <c r="B351" s="41"/>
      <c r="L351" s="38"/>
    </row>
    <row r="352" spans="2:12" s="19" customFormat="1" x14ac:dyDescent="0.35">
      <c r="B352" s="41"/>
      <c r="L352" s="38"/>
    </row>
    <row r="353" spans="2:12" s="19" customFormat="1" x14ac:dyDescent="0.35">
      <c r="B353" s="41"/>
      <c r="L353" s="38"/>
    </row>
    <row r="354" spans="2:12" s="19" customFormat="1" x14ac:dyDescent="0.35">
      <c r="B354" s="41"/>
      <c r="L354" s="38"/>
    </row>
    <row r="355" spans="2:12" s="19" customFormat="1" x14ac:dyDescent="0.35">
      <c r="B355" s="41"/>
      <c r="L355" s="38"/>
    </row>
    <row r="356" spans="2:12" s="19" customFormat="1" x14ac:dyDescent="0.35">
      <c r="B356" s="41"/>
      <c r="L356" s="38"/>
    </row>
    <row r="357" spans="2:12" s="19" customFormat="1" x14ac:dyDescent="0.35">
      <c r="B357" s="41"/>
      <c r="L357" s="38"/>
    </row>
    <row r="358" spans="2:12" s="19" customFormat="1" x14ac:dyDescent="0.35">
      <c r="B358" s="41"/>
      <c r="L358" s="38"/>
    </row>
    <row r="359" spans="2:12" s="19" customFormat="1" x14ac:dyDescent="0.35">
      <c r="B359" s="41"/>
      <c r="L359" s="38"/>
    </row>
    <row r="360" spans="2:12" s="19" customFormat="1" x14ac:dyDescent="0.35">
      <c r="B360" s="41"/>
      <c r="L360" s="38"/>
    </row>
    <row r="361" spans="2:12" s="19" customFormat="1" x14ac:dyDescent="0.35">
      <c r="B361" s="41"/>
      <c r="L361" s="38"/>
    </row>
    <row r="362" spans="2:12" s="19" customFormat="1" x14ac:dyDescent="0.35">
      <c r="B362" s="41"/>
      <c r="L362" s="38"/>
    </row>
    <row r="363" spans="2:12" s="19" customFormat="1" x14ac:dyDescent="0.35">
      <c r="B363" s="41"/>
      <c r="L363" s="38"/>
    </row>
    <row r="364" spans="2:12" s="19" customFormat="1" x14ac:dyDescent="0.35">
      <c r="B364" s="41"/>
      <c r="L364" s="38"/>
    </row>
    <row r="365" spans="2:12" s="19" customFormat="1" x14ac:dyDescent="0.35">
      <c r="B365" s="41"/>
      <c r="L365" s="38"/>
    </row>
    <row r="366" spans="2:12" s="19" customFormat="1" x14ac:dyDescent="0.35">
      <c r="B366" s="41"/>
      <c r="L366" s="38"/>
    </row>
    <row r="367" spans="2:12" s="19" customFormat="1" x14ac:dyDescent="0.35">
      <c r="B367" s="41"/>
      <c r="L367" s="38"/>
    </row>
    <row r="368" spans="2:12" s="19" customFormat="1" x14ac:dyDescent="0.35">
      <c r="B368" s="41"/>
      <c r="L368" s="38"/>
    </row>
    <row r="369" spans="2:12" s="19" customFormat="1" x14ac:dyDescent="0.35">
      <c r="B369" s="41"/>
      <c r="L369" s="38"/>
    </row>
    <row r="370" spans="2:12" s="19" customFormat="1" x14ac:dyDescent="0.35">
      <c r="B370" s="41"/>
      <c r="L370" s="38"/>
    </row>
    <row r="371" spans="2:12" s="19" customFormat="1" x14ac:dyDescent="0.35">
      <c r="B371" s="41"/>
      <c r="L371" s="38"/>
    </row>
    <row r="372" spans="2:12" s="19" customFormat="1" x14ac:dyDescent="0.35">
      <c r="B372" s="41"/>
      <c r="L372" s="38"/>
    </row>
    <row r="373" spans="2:12" s="19" customFormat="1" x14ac:dyDescent="0.35">
      <c r="B373" s="41"/>
      <c r="L373" s="38"/>
    </row>
    <row r="374" spans="2:12" s="19" customFormat="1" x14ac:dyDescent="0.35">
      <c r="B374" s="41"/>
      <c r="L374" s="38"/>
    </row>
    <row r="375" spans="2:12" s="19" customFormat="1" x14ac:dyDescent="0.35">
      <c r="B375" s="41"/>
      <c r="L375" s="38"/>
    </row>
    <row r="376" spans="2:12" s="19" customFormat="1" x14ac:dyDescent="0.35">
      <c r="B376" s="41"/>
      <c r="L376" s="38"/>
    </row>
    <row r="377" spans="2:12" s="19" customFormat="1" x14ac:dyDescent="0.35">
      <c r="B377" s="41"/>
      <c r="L377" s="38"/>
    </row>
    <row r="378" spans="2:12" s="19" customFormat="1" x14ac:dyDescent="0.35">
      <c r="B378" s="41"/>
      <c r="L378" s="38"/>
    </row>
    <row r="379" spans="2:12" s="19" customFormat="1" x14ac:dyDescent="0.35">
      <c r="B379" s="41"/>
      <c r="L379" s="38"/>
    </row>
    <row r="380" spans="2:12" s="19" customFormat="1" x14ac:dyDescent="0.35">
      <c r="B380" s="41"/>
      <c r="L380" s="38"/>
    </row>
    <row r="381" spans="2:12" s="19" customFormat="1" x14ac:dyDescent="0.35">
      <c r="B381" s="41"/>
      <c r="L381" s="38"/>
    </row>
    <row r="382" spans="2:12" s="19" customFormat="1" x14ac:dyDescent="0.35">
      <c r="B382" s="41"/>
      <c r="L382" s="38"/>
    </row>
    <row r="383" spans="2:12" s="19" customFormat="1" x14ac:dyDescent="0.35">
      <c r="B383" s="41"/>
      <c r="L383" s="38"/>
    </row>
    <row r="384" spans="2:12" s="19" customFormat="1" x14ac:dyDescent="0.35">
      <c r="B384" s="41"/>
      <c r="L384" s="38"/>
    </row>
    <row r="385" spans="2:12" s="19" customFormat="1" x14ac:dyDescent="0.35">
      <c r="B385" s="41"/>
      <c r="L385" s="38"/>
    </row>
    <row r="386" spans="2:12" s="19" customFormat="1" x14ac:dyDescent="0.35">
      <c r="B386" s="41"/>
      <c r="L386" s="38"/>
    </row>
    <row r="387" spans="2:12" s="19" customFormat="1" x14ac:dyDescent="0.35">
      <c r="B387" s="41"/>
      <c r="L387" s="38"/>
    </row>
    <row r="388" spans="2:12" s="19" customFormat="1" x14ac:dyDescent="0.35">
      <c r="B388" s="41"/>
      <c r="L388" s="38"/>
    </row>
    <row r="389" spans="2:12" s="19" customFormat="1" x14ac:dyDescent="0.35">
      <c r="B389" s="41"/>
      <c r="L389" s="38"/>
    </row>
    <row r="390" spans="2:12" s="19" customFormat="1" x14ac:dyDescent="0.35">
      <c r="B390" s="41"/>
      <c r="L390" s="38"/>
    </row>
    <row r="391" spans="2:12" s="19" customFormat="1" x14ac:dyDescent="0.35">
      <c r="B391" s="41"/>
      <c r="L391" s="38"/>
    </row>
    <row r="392" spans="2:12" s="19" customFormat="1" x14ac:dyDescent="0.35">
      <c r="B392" s="41"/>
      <c r="L392" s="38"/>
    </row>
    <row r="393" spans="2:12" s="19" customFormat="1" x14ac:dyDescent="0.35">
      <c r="B393" s="41"/>
      <c r="L393" s="38"/>
    </row>
    <row r="394" spans="2:12" s="19" customFormat="1" x14ac:dyDescent="0.35">
      <c r="B394" s="41"/>
      <c r="L394" s="38"/>
    </row>
    <row r="395" spans="2:12" s="19" customFormat="1" x14ac:dyDescent="0.35">
      <c r="B395" s="41"/>
      <c r="L395" s="38"/>
    </row>
    <row r="396" spans="2:12" s="19" customFormat="1" x14ac:dyDescent="0.35">
      <c r="B396" s="41"/>
      <c r="L396" s="38"/>
    </row>
    <row r="397" spans="2:12" s="19" customFormat="1" x14ac:dyDescent="0.35">
      <c r="B397" s="41"/>
      <c r="L397" s="38"/>
    </row>
    <row r="398" spans="2:12" s="19" customFormat="1" x14ac:dyDescent="0.35">
      <c r="B398" s="41"/>
      <c r="L398" s="38"/>
    </row>
    <row r="399" spans="2:12" s="19" customFormat="1" x14ac:dyDescent="0.35">
      <c r="B399" s="41"/>
      <c r="L399" s="38"/>
    </row>
    <row r="400" spans="2:12" s="19" customFormat="1" x14ac:dyDescent="0.35">
      <c r="B400" s="41"/>
      <c r="L400" s="38"/>
    </row>
    <row r="401" spans="2:12" s="19" customFormat="1" x14ac:dyDescent="0.35">
      <c r="B401" s="41"/>
      <c r="L401" s="38"/>
    </row>
    <row r="402" spans="2:12" s="19" customFormat="1" x14ac:dyDescent="0.35">
      <c r="B402" s="41"/>
      <c r="L402" s="38"/>
    </row>
    <row r="403" spans="2:12" s="19" customFormat="1" x14ac:dyDescent="0.35">
      <c r="B403" s="41"/>
      <c r="L403" s="38"/>
    </row>
    <row r="404" spans="2:12" s="19" customFormat="1" x14ac:dyDescent="0.35">
      <c r="B404" s="41"/>
      <c r="L404" s="38"/>
    </row>
    <row r="405" spans="2:12" s="19" customFormat="1" x14ac:dyDescent="0.35">
      <c r="B405" s="41"/>
      <c r="L405" s="38"/>
    </row>
    <row r="406" spans="2:12" s="19" customFormat="1" x14ac:dyDescent="0.35">
      <c r="B406" s="41"/>
      <c r="L406" s="38"/>
    </row>
    <row r="407" spans="2:12" s="19" customFormat="1" x14ac:dyDescent="0.35">
      <c r="B407" s="41"/>
      <c r="L407" s="38"/>
    </row>
    <row r="408" spans="2:12" s="19" customFormat="1" x14ac:dyDescent="0.35">
      <c r="B408" s="41"/>
      <c r="L408" s="38"/>
    </row>
    <row r="409" spans="2:12" s="19" customFormat="1" x14ac:dyDescent="0.35">
      <c r="B409" s="41"/>
      <c r="L409" s="38"/>
    </row>
    <row r="410" spans="2:12" s="19" customFormat="1" x14ac:dyDescent="0.35">
      <c r="B410" s="41"/>
      <c r="L410" s="38"/>
    </row>
    <row r="411" spans="2:12" s="19" customFormat="1" x14ac:dyDescent="0.35">
      <c r="B411" s="41"/>
      <c r="L411" s="38"/>
    </row>
    <row r="412" spans="2:12" s="19" customFormat="1" x14ac:dyDescent="0.35">
      <c r="B412" s="41"/>
      <c r="L412" s="38"/>
    </row>
    <row r="413" spans="2:12" s="19" customFormat="1" x14ac:dyDescent="0.35">
      <c r="B413" s="41"/>
      <c r="L413" s="38"/>
    </row>
    <row r="414" spans="2:12" s="19" customFormat="1" x14ac:dyDescent="0.35">
      <c r="B414" s="41"/>
      <c r="L414" s="38"/>
    </row>
    <row r="415" spans="2:12" s="19" customFormat="1" x14ac:dyDescent="0.35">
      <c r="B415" s="41"/>
      <c r="L415" s="38"/>
    </row>
    <row r="416" spans="2:12" s="19" customFormat="1" x14ac:dyDescent="0.35">
      <c r="B416" s="41"/>
      <c r="L416" s="38"/>
    </row>
    <row r="417" spans="2:12" s="19" customFormat="1" x14ac:dyDescent="0.35">
      <c r="B417" s="41"/>
      <c r="L417" s="38"/>
    </row>
    <row r="418" spans="2:12" s="19" customFormat="1" x14ac:dyDescent="0.35">
      <c r="B418" s="41"/>
      <c r="L418" s="38"/>
    </row>
    <row r="419" spans="2:12" s="19" customFormat="1" x14ac:dyDescent="0.35">
      <c r="B419" s="41"/>
      <c r="L419" s="38"/>
    </row>
    <row r="420" spans="2:12" s="19" customFormat="1" x14ac:dyDescent="0.35">
      <c r="B420" s="41"/>
      <c r="L420" s="38"/>
    </row>
    <row r="421" spans="2:12" s="19" customFormat="1" x14ac:dyDescent="0.35">
      <c r="B421" s="41"/>
      <c r="L421" s="38"/>
    </row>
    <row r="422" spans="2:12" s="19" customFormat="1" x14ac:dyDescent="0.35">
      <c r="B422" s="41"/>
      <c r="L422" s="38"/>
    </row>
    <row r="423" spans="2:12" s="19" customFormat="1" x14ac:dyDescent="0.35">
      <c r="B423" s="41"/>
      <c r="L423" s="38"/>
    </row>
    <row r="424" spans="2:12" s="19" customFormat="1" x14ac:dyDescent="0.35">
      <c r="B424" s="41"/>
      <c r="L424" s="38"/>
    </row>
    <row r="425" spans="2:12" s="19" customFormat="1" x14ac:dyDescent="0.35">
      <c r="B425" s="41"/>
      <c r="L425" s="38"/>
    </row>
    <row r="426" spans="2:12" s="19" customFormat="1" x14ac:dyDescent="0.35">
      <c r="B426" s="41"/>
      <c r="L426" s="38"/>
    </row>
    <row r="427" spans="2:12" s="19" customFormat="1" x14ac:dyDescent="0.35">
      <c r="B427" s="41"/>
      <c r="L427" s="38"/>
    </row>
    <row r="428" spans="2:12" s="19" customFormat="1" x14ac:dyDescent="0.35">
      <c r="B428" s="41"/>
      <c r="L428" s="38"/>
    </row>
    <row r="429" spans="2:12" s="19" customFormat="1" x14ac:dyDescent="0.35">
      <c r="B429" s="41"/>
      <c r="L429" s="38"/>
    </row>
    <row r="430" spans="2:12" s="19" customFormat="1" x14ac:dyDescent="0.35">
      <c r="B430" s="41"/>
      <c r="L430" s="38"/>
    </row>
    <row r="431" spans="2:12" s="19" customFormat="1" x14ac:dyDescent="0.35">
      <c r="B431" s="41"/>
      <c r="L431" s="38"/>
    </row>
    <row r="432" spans="2:12" s="19" customFormat="1" x14ac:dyDescent="0.35">
      <c r="B432" s="41"/>
      <c r="L432" s="38"/>
    </row>
    <row r="433" spans="2:12" s="19" customFormat="1" x14ac:dyDescent="0.35">
      <c r="B433" s="41"/>
      <c r="L433" s="38"/>
    </row>
    <row r="434" spans="2:12" s="19" customFormat="1" x14ac:dyDescent="0.35">
      <c r="B434" s="41"/>
      <c r="L434" s="38"/>
    </row>
    <row r="435" spans="2:12" s="19" customFormat="1" x14ac:dyDescent="0.35">
      <c r="B435" s="41"/>
      <c r="L435" s="38"/>
    </row>
    <row r="436" spans="2:12" s="19" customFormat="1" x14ac:dyDescent="0.35">
      <c r="B436" s="41"/>
      <c r="L436" s="38"/>
    </row>
    <row r="437" spans="2:12" s="19" customFormat="1" x14ac:dyDescent="0.35">
      <c r="B437" s="41"/>
      <c r="L437" s="38"/>
    </row>
    <row r="438" spans="2:12" s="19" customFormat="1" x14ac:dyDescent="0.35">
      <c r="B438" s="41"/>
      <c r="L438" s="38"/>
    </row>
    <row r="439" spans="2:12" s="19" customFormat="1" x14ac:dyDescent="0.35">
      <c r="B439" s="41"/>
      <c r="L439" s="38"/>
    </row>
    <row r="440" spans="2:12" s="19" customFormat="1" x14ac:dyDescent="0.35">
      <c r="B440" s="41"/>
      <c r="L440" s="38"/>
    </row>
    <row r="441" spans="2:12" s="19" customFormat="1" x14ac:dyDescent="0.35">
      <c r="B441" s="41"/>
      <c r="L441" s="38"/>
    </row>
    <row r="442" spans="2:12" s="19" customFormat="1" x14ac:dyDescent="0.35">
      <c r="B442" s="41"/>
      <c r="L442" s="38"/>
    </row>
    <row r="443" spans="2:12" s="19" customFormat="1" x14ac:dyDescent="0.35">
      <c r="B443" s="41"/>
      <c r="L443" s="38"/>
    </row>
    <row r="444" spans="2:12" s="19" customFormat="1" x14ac:dyDescent="0.35">
      <c r="B444" s="41"/>
      <c r="L444" s="38"/>
    </row>
    <row r="445" spans="2:12" s="19" customFormat="1" x14ac:dyDescent="0.35">
      <c r="B445" s="41"/>
      <c r="L445" s="38"/>
    </row>
    <row r="446" spans="2:12" s="19" customFormat="1" x14ac:dyDescent="0.35">
      <c r="B446" s="41"/>
      <c r="L446" s="38"/>
    </row>
    <row r="447" spans="2:12" s="19" customFormat="1" x14ac:dyDescent="0.35">
      <c r="B447" s="41"/>
      <c r="L447" s="38"/>
    </row>
    <row r="448" spans="2:12" s="19" customFormat="1" x14ac:dyDescent="0.35">
      <c r="B448" s="41"/>
      <c r="L448" s="38"/>
    </row>
    <row r="449" spans="2:12" s="19" customFormat="1" x14ac:dyDescent="0.35">
      <c r="B449" s="41"/>
      <c r="L449" s="38"/>
    </row>
    <row r="450" spans="2:12" s="19" customFormat="1" x14ac:dyDescent="0.35">
      <c r="B450" s="41"/>
      <c r="L450" s="38"/>
    </row>
    <row r="451" spans="2:12" s="19" customFormat="1" x14ac:dyDescent="0.35">
      <c r="B451" s="41"/>
      <c r="L451" s="38"/>
    </row>
    <row r="452" spans="2:12" s="19" customFormat="1" x14ac:dyDescent="0.35">
      <c r="B452" s="41"/>
      <c r="L452" s="38"/>
    </row>
    <row r="453" spans="2:12" s="19" customFormat="1" x14ac:dyDescent="0.35">
      <c r="B453" s="41"/>
      <c r="L453" s="38"/>
    </row>
    <row r="454" spans="2:12" s="19" customFormat="1" x14ac:dyDescent="0.35">
      <c r="B454" s="41"/>
      <c r="L454" s="38"/>
    </row>
    <row r="455" spans="2:12" s="19" customFormat="1" x14ac:dyDescent="0.35">
      <c r="B455" s="41"/>
      <c r="L455" s="38"/>
    </row>
    <row r="456" spans="2:12" s="19" customFormat="1" x14ac:dyDescent="0.35">
      <c r="B456" s="41"/>
      <c r="L456" s="38"/>
    </row>
    <row r="457" spans="2:12" s="19" customFormat="1" x14ac:dyDescent="0.35">
      <c r="B457" s="41"/>
      <c r="L457" s="38"/>
    </row>
    <row r="458" spans="2:12" s="19" customFormat="1" x14ac:dyDescent="0.35">
      <c r="B458" s="41"/>
      <c r="L458" s="38"/>
    </row>
    <row r="459" spans="2:12" s="19" customFormat="1" x14ac:dyDescent="0.35">
      <c r="B459" s="41"/>
      <c r="L459" s="38"/>
    </row>
    <row r="460" spans="2:12" s="19" customFormat="1" x14ac:dyDescent="0.35">
      <c r="B460" s="41"/>
      <c r="L460" s="38"/>
    </row>
    <row r="461" spans="2:12" s="19" customFormat="1" x14ac:dyDescent="0.35">
      <c r="B461" s="41"/>
      <c r="L461" s="38"/>
    </row>
    <row r="462" spans="2:12" s="19" customFormat="1" x14ac:dyDescent="0.35">
      <c r="B462" s="41"/>
      <c r="L462" s="38"/>
    </row>
    <row r="463" spans="2:12" s="19" customFormat="1" x14ac:dyDescent="0.35">
      <c r="B463" s="41"/>
      <c r="L463" s="38"/>
    </row>
    <row r="464" spans="2:12" s="19" customFormat="1" x14ac:dyDescent="0.35">
      <c r="B464" s="41"/>
      <c r="L464" s="38"/>
    </row>
    <row r="465" spans="2:12" s="19" customFormat="1" x14ac:dyDescent="0.35">
      <c r="B465" s="41"/>
      <c r="L465" s="38"/>
    </row>
    <row r="466" spans="2:12" s="19" customFormat="1" x14ac:dyDescent="0.35">
      <c r="B466" s="41"/>
      <c r="L466" s="38"/>
    </row>
    <row r="467" spans="2:12" s="19" customFormat="1" x14ac:dyDescent="0.35">
      <c r="B467" s="41"/>
      <c r="L467" s="38"/>
    </row>
    <row r="468" spans="2:12" s="19" customFormat="1" x14ac:dyDescent="0.35">
      <c r="B468" s="41"/>
      <c r="L468" s="38"/>
    </row>
    <row r="469" spans="2:12" s="19" customFormat="1" x14ac:dyDescent="0.35">
      <c r="B469" s="41"/>
      <c r="L469" s="38"/>
    </row>
    <row r="470" spans="2:12" s="19" customFormat="1" x14ac:dyDescent="0.35">
      <c r="B470" s="41"/>
      <c r="L470" s="38"/>
    </row>
    <row r="471" spans="2:12" s="19" customFormat="1" x14ac:dyDescent="0.35">
      <c r="B471" s="41"/>
      <c r="L471" s="38"/>
    </row>
    <row r="472" spans="2:12" s="19" customFormat="1" x14ac:dyDescent="0.35">
      <c r="B472" s="41"/>
      <c r="L472" s="38"/>
    </row>
    <row r="473" spans="2:12" s="19" customFormat="1" x14ac:dyDescent="0.35">
      <c r="B473" s="41"/>
      <c r="L473" s="38"/>
    </row>
    <row r="474" spans="2:12" s="19" customFormat="1" x14ac:dyDescent="0.35">
      <c r="B474" s="41"/>
      <c r="L474" s="38"/>
    </row>
    <row r="475" spans="2:12" s="19" customFormat="1" x14ac:dyDescent="0.35">
      <c r="B475" s="41"/>
      <c r="L475" s="38"/>
    </row>
    <row r="476" spans="2:12" s="19" customFormat="1" x14ac:dyDescent="0.35">
      <c r="B476" s="41"/>
      <c r="L476" s="38"/>
    </row>
    <row r="477" spans="2:12" s="19" customFormat="1" x14ac:dyDescent="0.35">
      <c r="B477" s="41"/>
      <c r="L477" s="38"/>
    </row>
    <row r="478" spans="2:12" s="19" customFormat="1" x14ac:dyDescent="0.35">
      <c r="B478" s="41"/>
      <c r="L478" s="38"/>
    </row>
    <row r="479" spans="2:12" s="19" customFormat="1" x14ac:dyDescent="0.35">
      <c r="B479" s="41"/>
      <c r="L479" s="38"/>
    </row>
    <row r="480" spans="2:12" s="19" customFormat="1" x14ac:dyDescent="0.35">
      <c r="B480" s="41"/>
      <c r="L480" s="38"/>
    </row>
    <row r="481" spans="2:12" s="19" customFormat="1" x14ac:dyDescent="0.35">
      <c r="B481" s="41"/>
      <c r="L481" s="38"/>
    </row>
    <row r="482" spans="2:12" s="19" customFormat="1" x14ac:dyDescent="0.35">
      <c r="B482" s="41"/>
      <c r="L482" s="38"/>
    </row>
    <row r="483" spans="2:12" s="19" customFormat="1" x14ac:dyDescent="0.35">
      <c r="B483" s="41"/>
      <c r="L483" s="38"/>
    </row>
    <row r="484" spans="2:12" s="19" customFormat="1" x14ac:dyDescent="0.35">
      <c r="B484" s="41"/>
      <c r="L484" s="38"/>
    </row>
    <row r="485" spans="2:12" s="19" customFormat="1" x14ac:dyDescent="0.35">
      <c r="B485" s="41"/>
      <c r="L485" s="38"/>
    </row>
    <row r="486" spans="2:12" s="19" customFormat="1" x14ac:dyDescent="0.35">
      <c r="B486" s="41"/>
      <c r="L486" s="38"/>
    </row>
    <row r="487" spans="2:12" s="19" customFormat="1" x14ac:dyDescent="0.35">
      <c r="B487" s="41"/>
      <c r="L487" s="38"/>
    </row>
    <row r="488" spans="2:12" s="19" customFormat="1" x14ac:dyDescent="0.35">
      <c r="B488" s="41"/>
      <c r="L488" s="38"/>
    </row>
    <row r="489" spans="2:12" s="19" customFormat="1" x14ac:dyDescent="0.35">
      <c r="B489" s="41"/>
      <c r="L489" s="38"/>
    </row>
    <row r="490" spans="2:12" s="19" customFormat="1" x14ac:dyDescent="0.35">
      <c r="B490" s="41"/>
      <c r="L490" s="38"/>
    </row>
    <row r="491" spans="2:12" s="19" customFormat="1" x14ac:dyDescent="0.35">
      <c r="B491" s="41"/>
      <c r="L491" s="38"/>
    </row>
    <row r="492" spans="2:12" s="19" customFormat="1" x14ac:dyDescent="0.35">
      <c r="B492" s="41"/>
      <c r="L492" s="38"/>
    </row>
    <row r="493" spans="2:12" s="19" customFormat="1" x14ac:dyDescent="0.35">
      <c r="B493" s="41"/>
      <c r="L493" s="38"/>
    </row>
    <row r="494" spans="2:12" s="19" customFormat="1" x14ac:dyDescent="0.35">
      <c r="B494" s="41"/>
      <c r="L494" s="38"/>
    </row>
    <row r="495" spans="2:12" s="19" customFormat="1" x14ac:dyDescent="0.35">
      <c r="B495" s="41"/>
      <c r="L495" s="38"/>
    </row>
    <row r="496" spans="2:12" s="19" customFormat="1" x14ac:dyDescent="0.35">
      <c r="B496" s="41"/>
      <c r="L496" s="38"/>
    </row>
    <row r="497" spans="2:12" s="19" customFormat="1" x14ac:dyDescent="0.35">
      <c r="B497" s="41"/>
      <c r="L497" s="38"/>
    </row>
    <row r="498" spans="2:12" s="19" customFormat="1" x14ac:dyDescent="0.35">
      <c r="B498" s="41"/>
      <c r="L498" s="38"/>
    </row>
    <row r="499" spans="2:12" s="19" customFormat="1" x14ac:dyDescent="0.35">
      <c r="B499" s="41"/>
      <c r="L499" s="38"/>
    </row>
    <row r="500" spans="2:12" s="19" customFormat="1" x14ac:dyDescent="0.35">
      <c r="B500" s="41"/>
      <c r="L500" s="38"/>
    </row>
    <row r="501" spans="2:12" s="19" customFormat="1" x14ac:dyDescent="0.35">
      <c r="B501" s="41"/>
      <c r="L501" s="38"/>
    </row>
    <row r="502" spans="2:12" s="19" customFormat="1" x14ac:dyDescent="0.35">
      <c r="B502" s="41"/>
      <c r="L502" s="38"/>
    </row>
    <row r="503" spans="2:12" s="19" customFormat="1" x14ac:dyDescent="0.35">
      <c r="B503" s="41"/>
      <c r="L503" s="38"/>
    </row>
    <row r="504" spans="2:12" s="19" customFormat="1" x14ac:dyDescent="0.35">
      <c r="B504" s="41"/>
      <c r="L504" s="38"/>
    </row>
    <row r="505" spans="2:12" s="19" customFormat="1" x14ac:dyDescent="0.35">
      <c r="B505" s="41"/>
      <c r="L505" s="38"/>
    </row>
    <row r="506" spans="2:12" s="19" customFormat="1" x14ac:dyDescent="0.35">
      <c r="B506" s="41"/>
      <c r="L506" s="38"/>
    </row>
    <row r="507" spans="2:12" s="19" customFormat="1" x14ac:dyDescent="0.35">
      <c r="B507" s="41"/>
      <c r="L507" s="38"/>
    </row>
    <row r="508" spans="2:12" s="19" customFormat="1" x14ac:dyDescent="0.35">
      <c r="B508" s="41"/>
      <c r="L508" s="38"/>
    </row>
    <row r="509" spans="2:12" s="19" customFormat="1" x14ac:dyDescent="0.35">
      <c r="B509" s="41"/>
      <c r="L509" s="38"/>
    </row>
    <row r="510" spans="2:12" s="19" customFormat="1" x14ac:dyDescent="0.35">
      <c r="B510" s="41"/>
      <c r="L510" s="38"/>
    </row>
    <row r="511" spans="2:12" s="19" customFormat="1" x14ac:dyDescent="0.35">
      <c r="B511" s="41"/>
      <c r="L511" s="38"/>
    </row>
    <row r="512" spans="2:12" s="19" customFormat="1" x14ac:dyDescent="0.35">
      <c r="B512" s="41"/>
      <c r="L512" s="38"/>
    </row>
    <row r="513" spans="2:12" s="19" customFormat="1" x14ac:dyDescent="0.35">
      <c r="B513" s="41"/>
      <c r="L513" s="38"/>
    </row>
    <row r="514" spans="2:12" s="19" customFormat="1" x14ac:dyDescent="0.35">
      <c r="B514" s="41"/>
      <c r="L514" s="38"/>
    </row>
    <row r="515" spans="2:12" s="19" customFormat="1" x14ac:dyDescent="0.35">
      <c r="B515" s="41"/>
      <c r="L515" s="38"/>
    </row>
    <row r="516" spans="2:12" s="19" customFormat="1" x14ac:dyDescent="0.35">
      <c r="B516" s="41"/>
      <c r="L516" s="38"/>
    </row>
    <row r="517" spans="2:12" s="19" customFormat="1" x14ac:dyDescent="0.35">
      <c r="B517" s="41"/>
      <c r="L517" s="38"/>
    </row>
    <row r="518" spans="2:12" s="19" customFormat="1" x14ac:dyDescent="0.35">
      <c r="B518" s="41"/>
      <c r="L518" s="38"/>
    </row>
    <row r="519" spans="2:12" s="19" customFormat="1" x14ac:dyDescent="0.35">
      <c r="B519" s="41"/>
      <c r="L519" s="38"/>
    </row>
    <row r="520" spans="2:12" s="19" customFormat="1" x14ac:dyDescent="0.35">
      <c r="B520" s="41"/>
      <c r="L520" s="38"/>
    </row>
    <row r="521" spans="2:12" s="19" customFormat="1" x14ac:dyDescent="0.35">
      <c r="B521" s="41"/>
      <c r="L521" s="38"/>
    </row>
    <row r="522" spans="2:12" s="19" customFormat="1" x14ac:dyDescent="0.35">
      <c r="B522" s="41"/>
      <c r="L522" s="38"/>
    </row>
    <row r="523" spans="2:12" s="19" customFormat="1" x14ac:dyDescent="0.35">
      <c r="B523" s="41"/>
      <c r="L523" s="38"/>
    </row>
    <row r="524" spans="2:12" s="19" customFormat="1" x14ac:dyDescent="0.35">
      <c r="B524" s="41"/>
      <c r="L524" s="38"/>
    </row>
    <row r="525" spans="2:12" s="19" customFormat="1" x14ac:dyDescent="0.35">
      <c r="B525" s="41"/>
      <c r="L525" s="38"/>
    </row>
    <row r="526" spans="2:12" s="19" customFormat="1" x14ac:dyDescent="0.35">
      <c r="B526" s="41"/>
      <c r="L526" s="38"/>
    </row>
    <row r="527" spans="2:12" s="19" customFormat="1" x14ac:dyDescent="0.35">
      <c r="B527" s="41"/>
      <c r="L527" s="38"/>
    </row>
    <row r="528" spans="2:12" s="19" customFormat="1" x14ac:dyDescent="0.35">
      <c r="B528" s="41"/>
      <c r="L528" s="38"/>
    </row>
    <row r="529" spans="2:12" s="19" customFormat="1" x14ac:dyDescent="0.35">
      <c r="B529" s="41"/>
      <c r="L529" s="38"/>
    </row>
    <row r="530" spans="2:12" s="19" customFormat="1" x14ac:dyDescent="0.35">
      <c r="B530" s="41"/>
      <c r="L530" s="38"/>
    </row>
    <row r="531" spans="2:12" s="19" customFormat="1" x14ac:dyDescent="0.35">
      <c r="B531" s="41"/>
      <c r="L531" s="38"/>
    </row>
    <row r="532" spans="2:12" s="19" customFormat="1" x14ac:dyDescent="0.35">
      <c r="B532" s="41"/>
      <c r="L532" s="38"/>
    </row>
    <row r="533" spans="2:12" s="19" customFormat="1" x14ac:dyDescent="0.35">
      <c r="B533" s="41"/>
      <c r="L533" s="38"/>
    </row>
    <row r="534" spans="2:12" s="19" customFormat="1" x14ac:dyDescent="0.35">
      <c r="B534" s="41"/>
      <c r="L534" s="38"/>
    </row>
    <row r="535" spans="2:12" s="19" customFormat="1" x14ac:dyDescent="0.35">
      <c r="B535" s="41"/>
      <c r="L535" s="38"/>
    </row>
    <row r="536" spans="2:12" s="19" customFormat="1" x14ac:dyDescent="0.35">
      <c r="B536" s="41"/>
      <c r="L536" s="38"/>
    </row>
    <row r="537" spans="2:12" s="19" customFormat="1" x14ac:dyDescent="0.35">
      <c r="B537" s="41"/>
      <c r="L537" s="38"/>
    </row>
    <row r="538" spans="2:12" s="19" customFormat="1" x14ac:dyDescent="0.35">
      <c r="B538" s="41"/>
      <c r="L538" s="38"/>
    </row>
    <row r="539" spans="2:12" s="19" customFormat="1" x14ac:dyDescent="0.35">
      <c r="B539" s="41"/>
      <c r="L539" s="38"/>
    </row>
    <row r="540" spans="2:12" s="19" customFormat="1" x14ac:dyDescent="0.35">
      <c r="B540" s="41"/>
      <c r="L540" s="38"/>
    </row>
    <row r="541" spans="2:12" s="19" customFormat="1" x14ac:dyDescent="0.35">
      <c r="B541" s="41"/>
      <c r="L541" s="38"/>
    </row>
    <row r="542" spans="2:12" s="19" customFormat="1" x14ac:dyDescent="0.35">
      <c r="B542" s="41"/>
      <c r="L542" s="38"/>
    </row>
    <row r="543" spans="2:12" s="19" customFormat="1" x14ac:dyDescent="0.35">
      <c r="B543" s="41"/>
      <c r="L543" s="38"/>
    </row>
    <row r="544" spans="2:12" s="19" customFormat="1" x14ac:dyDescent="0.35">
      <c r="B544" s="41"/>
      <c r="L544" s="38"/>
    </row>
    <row r="545" spans="2:12" s="19" customFormat="1" x14ac:dyDescent="0.35">
      <c r="B545" s="41"/>
      <c r="L545" s="38"/>
    </row>
    <row r="546" spans="2:12" s="19" customFormat="1" x14ac:dyDescent="0.35">
      <c r="B546" s="41"/>
      <c r="L546" s="38"/>
    </row>
    <row r="547" spans="2:12" s="19" customFormat="1" x14ac:dyDescent="0.35">
      <c r="B547" s="41"/>
      <c r="L547" s="38"/>
    </row>
    <row r="548" spans="2:12" s="19" customFormat="1" x14ac:dyDescent="0.35">
      <c r="B548" s="41"/>
      <c r="L548" s="38"/>
    </row>
    <row r="549" spans="2:12" s="19" customFormat="1" x14ac:dyDescent="0.35">
      <c r="B549" s="41"/>
      <c r="L549" s="38"/>
    </row>
    <row r="550" spans="2:12" s="19" customFormat="1" x14ac:dyDescent="0.35">
      <c r="B550" s="41"/>
      <c r="L550" s="38"/>
    </row>
    <row r="551" spans="2:12" s="19" customFormat="1" x14ac:dyDescent="0.35">
      <c r="B551" s="41"/>
      <c r="L551" s="38"/>
    </row>
    <row r="552" spans="2:12" s="19" customFormat="1" x14ac:dyDescent="0.35">
      <c r="B552" s="41"/>
      <c r="L552" s="38"/>
    </row>
    <row r="553" spans="2:12" s="19" customFormat="1" x14ac:dyDescent="0.35">
      <c r="B553" s="41"/>
      <c r="L553" s="38"/>
    </row>
    <row r="554" spans="2:12" s="19" customFormat="1" x14ac:dyDescent="0.35">
      <c r="B554" s="41"/>
      <c r="L554" s="38"/>
    </row>
    <row r="555" spans="2:12" s="19" customFormat="1" x14ac:dyDescent="0.35">
      <c r="B555" s="41"/>
      <c r="L555" s="38"/>
    </row>
    <row r="556" spans="2:12" s="19" customFormat="1" x14ac:dyDescent="0.35">
      <c r="B556" s="41"/>
      <c r="L556" s="38"/>
    </row>
    <row r="557" spans="2:12" s="19" customFormat="1" x14ac:dyDescent="0.35">
      <c r="B557" s="41"/>
      <c r="L557" s="38"/>
    </row>
    <row r="558" spans="2:12" s="19" customFormat="1" x14ac:dyDescent="0.35">
      <c r="B558" s="41"/>
      <c r="L558" s="38"/>
    </row>
    <row r="559" spans="2:12" s="19" customFormat="1" x14ac:dyDescent="0.35">
      <c r="B559" s="41"/>
      <c r="L559" s="38"/>
    </row>
    <row r="560" spans="2:12" s="19" customFormat="1" x14ac:dyDescent="0.35">
      <c r="B560" s="41"/>
      <c r="L560" s="38"/>
    </row>
    <row r="561" spans="2:12" s="19" customFormat="1" x14ac:dyDescent="0.35">
      <c r="B561" s="41"/>
      <c r="L561" s="38"/>
    </row>
    <row r="562" spans="2:12" s="19" customFormat="1" x14ac:dyDescent="0.35">
      <c r="B562" s="41"/>
      <c r="L562" s="38"/>
    </row>
    <row r="563" spans="2:12" s="19" customFormat="1" x14ac:dyDescent="0.35">
      <c r="B563" s="41"/>
      <c r="L563" s="38"/>
    </row>
    <row r="564" spans="2:12" s="19" customFormat="1" x14ac:dyDescent="0.35">
      <c r="B564" s="41"/>
      <c r="L564" s="38"/>
    </row>
    <row r="565" spans="2:12" s="19" customFormat="1" x14ac:dyDescent="0.35">
      <c r="B565" s="41"/>
      <c r="L565" s="38"/>
    </row>
    <row r="566" spans="2:12" s="19" customFormat="1" x14ac:dyDescent="0.35">
      <c r="B566" s="41"/>
      <c r="L566" s="38"/>
    </row>
    <row r="567" spans="2:12" s="19" customFormat="1" x14ac:dyDescent="0.35">
      <c r="B567" s="41"/>
      <c r="L567" s="38"/>
    </row>
    <row r="568" spans="2:12" s="19" customFormat="1" x14ac:dyDescent="0.35">
      <c r="B568" s="41"/>
      <c r="L568" s="38"/>
    </row>
    <row r="569" spans="2:12" s="19" customFormat="1" x14ac:dyDescent="0.35">
      <c r="B569" s="41"/>
      <c r="L569" s="38"/>
    </row>
    <row r="570" spans="2:12" s="19" customFormat="1" x14ac:dyDescent="0.35">
      <c r="B570" s="41"/>
      <c r="L570" s="38"/>
    </row>
    <row r="571" spans="2:12" s="19" customFormat="1" x14ac:dyDescent="0.35">
      <c r="B571" s="41"/>
      <c r="L571" s="38"/>
    </row>
    <row r="572" spans="2:12" s="19" customFormat="1" x14ac:dyDescent="0.35">
      <c r="B572" s="41"/>
      <c r="L572" s="38"/>
    </row>
    <row r="573" spans="2:12" s="19" customFormat="1" x14ac:dyDescent="0.35">
      <c r="B573" s="41"/>
      <c r="L573" s="38"/>
    </row>
    <row r="574" spans="2:12" s="19" customFormat="1" x14ac:dyDescent="0.35">
      <c r="B574" s="41"/>
      <c r="L574" s="38"/>
    </row>
    <row r="575" spans="2:12" s="19" customFormat="1" x14ac:dyDescent="0.35">
      <c r="B575" s="41"/>
      <c r="L575" s="38"/>
    </row>
    <row r="576" spans="2:12" s="19" customFormat="1" x14ac:dyDescent="0.35">
      <c r="B576" s="41"/>
      <c r="L576" s="38"/>
    </row>
    <row r="577" spans="2:12" s="19" customFormat="1" x14ac:dyDescent="0.35">
      <c r="B577" s="41"/>
      <c r="L577" s="38"/>
    </row>
    <row r="578" spans="2:12" s="19" customFormat="1" x14ac:dyDescent="0.35">
      <c r="B578" s="41"/>
      <c r="L578" s="38"/>
    </row>
    <row r="579" spans="2:12" s="19" customFormat="1" x14ac:dyDescent="0.35">
      <c r="B579" s="41"/>
      <c r="L579" s="38"/>
    </row>
    <row r="580" spans="2:12" s="19" customFormat="1" x14ac:dyDescent="0.35">
      <c r="B580" s="41"/>
      <c r="L580" s="38"/>
    </row>
    <row r="581" spans="2:12" s="19" customFormat="1" x14ac:dyDescent="0.35">
      <c r="B581" s="41"/>
      <c r="L581" s="38"/>
    </row>
    <row r="582" spans="2:12" s="19" customFormat="1" x14ac:dyDescent="0.35">
      <c r="B582" s="41"/>
      <c r="L582" s="38"/>
    </row>
    <row r="583" spans="2:12" s="19" customFormat="1" x14ac:dyDescent="0.35">
      <c r="B583" s="41"/>
      <c r="L583" s="38"/>
    </row>
    <row r="584" spans="2:12" s="19" customFormat="1" x14ac:dyDescent="0.35">
      <c r="B584" s="41"/>
      <c r="L584" s="38"/>
    </row>
    <row r="585" spans="2:12" s="19" customFormat="1" x14ac:dyDescent="0.35">
      <c r="B585" s="41"/>
      <c r="L585" s="38"/>
    </row>
    <row r="586" spans="2:12" s="19" customFormat="1" x14ac:dyDescent="0.35">
      <c r="B586" s="41"/>
      <c r="L586" s="38"/>
    </row>
    <row r="587" spans="2:12" s="19" customFormat="1" x14ac:dyDescent="0.35">
      <c r="B587" s="41"/>
      <c r="L587" s="38"/>
    </row>
    <row r="588" spans="2:12" s="19" customFormat="1" x14ac:dyDescent="0.35">
      <c r="B588" s="41"/>
      <c r="L588" s="38"/>
    </row>
    <row r="589" spans="2:12" s="19" customFormat="1" x14ac:dyDescent="0.35">
      <c r="B589" s="41"/>
      <c r="L589" s="38"/>
    </row>
    <row r="590" spans="2:12" s="19" customFormat="1" x14ac:dyDescent="0.35">
      <c r="B590" s="41"/>
      <c r="L590" s="38"/>
    </row>
    <row r="591" spans="2:12" s="19" customFormat="1" x14ac:dyDescent="0.35">
      <c r="B591" s="41"/>
      <c r="L591" s="38"/>
    </row>
    <row r="592" spans="2:12" s="19" customFormat="1" x14ac:dyDescent="0.35">
      <c r="B592" s="41"/>
      <c r="L592" s="38"/>
    </row>
    <row r="593" spans="2:12" s="19" customFormat="1" x14ac:dyDescent="0.35">
      <c r="B593" s="41"/>
      <c r="L593" s="38"/>
    </row>
    <row r="594" spans="2:12" s="19" customFormat="1" x14ac:dyDescent="0.35">
      <c r="B594" s="41"/>
      <c r="L594" s="38"/>
    </row>
    <row r="595" spans="2:12" s="19" customFormat="1" x14ac:dyDescent="0.35">
      <c r="B595" s="41"/>
      <c r="L595" s="38"/>
    </row>
    <row r="596" spans="2:12" s="19" customFormat="1" x14ac:dyDescent="0.35">
      <c r="B596" s="41"/>
      <c r="L596" s="38"/>
    </row>
    <row r="597" spans="2:12" s="19" customFormat="1" x14ac:dyDescent="0.35">
      <c r="B597" s="41"/>
      <c r="L597" s="38"/>
    </row>
    <row r="598" spans="2:12" s="19" customFormat="1" x14ac:dyDescent="0.35">
      <c r="B598" s="41"/>
      <c r="L598" s="38"/>
    </row>
    <row r="599" spans="2:12" s="19" customFormat="1" x14ac:dyDescent="0.35">
      <c r="B599" s="41"/>
      <c r="L599" s="38"/>
    </row>
    <row r="600" spans="2:12" s="19" customFormat="1" x14ac:dyDescent="0.35">
      <c r="B600" s="41"/>
      <c r="L600" s="38"/>
    </row>
    <row r="601" spans="2:12" s="19" customFormat="1" x14ac:dyDescent="0.35">
      <c r="B601" s="41"/>
      <c r="L601" s="38"/>
    </row>
    <row r="602" spans="2:12" s="19" customFormat="1" x14ac:dyDescent="0.35">
      <c r="B602" s="41"/>
      <c r="L602" s="38"/>
    </row>
    <row r="603" spans="2:12" s="19" customFormat="1" x14ac:dyDescent="0.35">
      <c r="B603" s="41"/>
      <c r="L603" s="38"/>
    </row>
    <row r="604" spans="2:12" s="19" customFormat="1" x14ac:dyDescent="0.35">
      <c r="B604" s="41"/>
      <c r="L604" s="38"/>
    </row>
    <row r="605" spans="2:12" s="19" customFormat="1" x14ac:dyDescent="0.35">
      <c r="B605" s="41"/>
      <c r="L605" s="38"/>
    </row>
    <row r="606" spans="2:12" s="19" customFormat="1" x14ac:dyDescent="0.35">
      <c r="B606" s="41"/>
      <c r="L606" s="38"/>
    </row>
    <row r="607" spans="2:12" s="19" customFormat="1" x14ac:dyDescent="0.35">
      <c r="B607" s="41"/>
      <c r="L607" s="38"/>
    </row>
    <row r="608" spans="2:12" s="19" customFormat="1" x14ac:dyDescent="0.35">
      <c r="B608" s="41"/>
      <c r="L608" s="38"/>
    </row>
    <row r="609" spans="2:12" s="19" customFormat="1" x14ac:dyDescent="0.35">
      <c r="B609" s="41"/>
      <c r="L609" s="38"/>
    </row>
    <row r="610" spans="2:12" s="19" customFormat="1" x14ac:dyDescent="0.35">
      <c r="B610" s="41"/>
      <c r="L610" s="38"/>
    </row>
    <row r="611" spans="2:12" s="19" customFormat="1" x14ac:dyDescent="0.35">
      <c r="B611" s="41"/>
      <c r="L611" s="38"/>
    </row>
    <row r="612" spans="2:12" s="19" customFormat="1" x14ac:dyDescent="0.35">
      <c r="B612" s="41"/>
      <c r="L612" s="38"/>
    </row>
    <row r="613" spans="2:12" s="19" customFormat="1" x14ac:dyDescent="0.35">
      <c r="B613" s="41"/>
      <c r="L613" s="38"/>
    </row>
    <row r="614" spans="2:12" s="19" customFormat="1" x14ac:dyDescent="0.35">
      <c r="B614" s="41"/>
      <c r="L614" s="38"/>
    </row>
    <row r="615" spans="2:12" s="19" customFormat="1" x14ac:dyDescent="0.35">
      <c r="B615" s="41"/>
      <c r="L615" s="38"/>
    </row>
    <row r="616" spans="2:12" s="19" customFormat="1" x14ac:dyDescent="0.35">
      <c r="B616" s="41"/>
      <c r="L616" s="38"/>
    </row>
    <row r="617" spans="2:12" s="19" customFormat="1" x14ac:dyDescent="0.35">
      <c r="B617" s="41"/>
      <c r="L617" s="38"/>
    </row>
    <row r="618" spans="2:12" s="19" customFormat="1" x14ac:dyDescent="0.35">
      <c r="B618" s="41"/>
      <c r="L618" s="38"/>
    </row>
    <row r="619" spans="2:12" s="19" customFormat="1" x14ac:dyDescent="0.35">
      <c r="B619" s="41"/>
      <c r="L619" s="38"/>
    </row>
    <row r="620" spans="2:12" s="19" customFormat="1" x14ac:dyDescent="0.35">
      <c r="B620" s="41"/>
      <c r="L620" s="38"/>
    </row>
    <row r="621" spans="2:12" s="19" customFormat="1" x14ac:dyDescent="0.35">
      <c r="B621" s="41"/>
      <c r="L621" s="38"/>
    </row>
    <row r="622" spans="2:12" s="19" customFormat="1" x14ac:dyDescent="0.35">
      <c r="B622" s="41"/>
      <c r="L622" s="38"/>
    </row>
    <row r="623" spans="2:12" s="19" customFormat="1" x14ac:dyDescent="0.35">
      <c r="B623" s="41"/>
      <c r="L623" s="38"/>
    </row>
    <row r="624" spans="2:12" s="19" customFormat="1" x14ac:dyDescent="0.35">
      <c r="B624" s="41"/>
      <c r="L624" s="38"/>
    </row>
    <row r="625" spans="2:12" s="19" customFormat="1" x14ac:dyDescent="0.35">
      <c r="B625" s="41"/>
      <c r="L625" s="38"/>
    </row>
    <row r="626" spans="2:12" s="19" customFormat="1" x14ac:dyDescent="0.35">
      <c r="B626" s="41"/>
      <c r="L626" s="38"/>
    </row>
    <row r="627" spans="2:12" s="19" customFormat="1" x14ac:dyDescent="0.35">
      <c r="B627" s="41"/>
      <c r="L627" s="38"/>
    </row>
    <row r="628" spans="2:12" s="19" customFormat="1" x14ac:dyDescent="0.35">
      <c r="B628" s="41"/>
      <c r="L628" s="38"/>
    </row>
    <row r="629" spans="2:12" s="19" customFormat="1" x14ac:dyDescent="0.35">
      <c r="B629" s="41"/>
      <c r="L629" s="38"/>
    </row>
    <row r="630" spans="2:12" s="19" customFormat="1" x14ac:dyDescent="0.35">
      <c r="B630" s="41"/>
      <c r="L630" s="38"/>
    </row>
    <row r="631" spans="2:12" s="19" customFormat="1" x14ac:dyDescent="0.35">
      <c r="B631" s="41"/>
      <c r="L631" s="38"/>
    </row>
    <row r="632" spans="2:12" s="19" customFormat="1" x14ac:dyDescent="0.35">
      <c r="B632" s="41"/>
      <c r="L632" s="38"/>
    </row>
    <row r="633" spans="2:12" s="19" customFormat="1" x14ac:dyDescent="0.35">
      <c r="B633" s="41"/>
      <c r="L633" s="38"/>
    </row>
    <row r="634" spans="2:12" s="19" customFormat="1" x14ac:dyDescent="0.35">
      <c r="B634" s="41"/>
      <c r="L634" s="38"/>
    </row>
    <row r="635" spans="2:12" s="19" customFormat="1" x14ac:dyDescent="0.35">
      <c r="B635" s="41"/>
      <c r="L635" s="38"/>
    </row>
    <row r="636" spans="2:12" s="19" customFormat="1" x14ac:dyDescent="0.35">
      <c r="B636" s="41"/>
      <c r="L636" s="38"/>
    </row>
    <row r="637" spans="2:12" s="19" customFormat="1" x14ac:dyDescent="0.35">
      <c r="B637" s="41"/>
      <c r="L637" s="38"/>
    </row>
    <row r="638" spans="2:12" s="19" customFormat="1" x14ac:dyDescent="0.35">
      <c r="B638" s="41"/>
      <c r="L638" s="38"/>
    </row>
    <row r="639" spans="2:12" s="19" customFormat="1" x14ac:dyDescent="0.35">
      <c r="B639" s="41"/>
      <c r="L639" s="38"/>
    </row>
    <row r="640" spans="2:12" s="19" customFormat="1" x14ac:dyDescent="0.35">
      <c r="B640" s="41"/>
      <c r="L640" s="38"/>
    </row>
    <row r="641" spans="2:12" s="19" customFormat="1" x14ac:dyDescent="0.35">
      <c r="B641" s="41"/>
      <c r="L641" s="38"/>
    </row>
    <row r="642" spans="2:12" s="19" customFormat="1" x14ac:dyDescent="0.35">
      <c r="B642" s="41"/>
      <c r="L642" s="38"/>
    </row>
    <row r="643" spans="2:12" s="19" customFormat="1" x14ac:dyDescent="0.35">
      <c r="B643" s="41"/>
      <c r="L643" s="38"/>
    </row>
    <row r="644" spans="2:12" s="19" customFormat="1" x14ac:dyDescent="0.35">
      <c r="B644" s="41"/>
      <c r="L644" s="38"/>
    </row>
    <row r="645" spans="2:12" s="19" customFormat="1" x14ac:dyDescent="0.35">
      <c r="B645" s="41"/>
      <c r="L645" s="38"/>
    </row>
    <row r="646" spans="2:12" s="19" customFormat="1" x14ac:dyDescent="0.35">
      <c r="B646" s="41"/>
      <c r="L646" s="38"/>
    </row>
    <row r="647" spans="2:12" s="19" customFormat="1" x14ac:dyDescent="0.35">
      <c r="B647" s="41"/>
      <c r="L647" s="38"/>
    </row>
    <row r="648" spans="2:12" s="19" customFormat="1" x14ac:dyDescent="0.35">
      <c r="B648" s="41"/>
      <c r="L648" s="38"/>
    </row>
    <row r="649" spans="2:12" s="19" customFormat="1" x14ac:dyDescent="0.35">
      <c r="B649" s="41"/>
      <c r="L649" s="38"/>
    </row>
    <row r="650" spans="2:12" s="19" customFormat="1" x14ac:dyDescent="0.35">
      <c r="B650" s="41"/>
      <c r="L650" s="38"/>
    </row>
    <row r="651" spans="2:12" s="19" customFormat="1" x14ac:dyDescent="0.35">
      <c r="B651" s="41"/>
      <c r="L651" s="38"/>
    </row>
    <row r="652" spans="2:12" s="19" customFormat="1" x14ac:dyDescent="0.35">
      <c r="B652" s="41"/>
      <c r="L652" s="38"/>
    </row>
    <row r="653" spans="2:12" s="19" customFormat="1" x14ac:dyDescent="0.35">
      <c r="B653" s="41"/>
      <c r="L653" s="38"/>
    </row>
    <row r="654" spans="2:12" s="19" customFormat="1" x14ac:dyDescent="0.35">
      <c r="B654" s="41"/>
      <c r="L654" s="38"/>
    </row>
    <row r="655" spans="2:12" s="19" customFormat="1" x14ac:dyDescent="0.35">
      <c r="B655" s="41"/>
      <c r="L655" s="38"/>
    </row>
    <row r="656" spans="2:12" s="19" customFormat="1" x14ac:dyDescent="0.35">
      <c r="B656" s="41"/>
      <c r="L656" s="38"/>
    </row>
    <row r="657" spans="2:12" s="19" customFormat="1" x14ac:dyDescent="0.35">
      <c r="B657" s="41"/>
      <c r="L657" s="38"/>
    </row>
    <row r="658" spans="2:12" s="19" customFormat="1" x14ac:dyDescent="0.35">
      <c r="B658" s="41"/>
      <c r="L658" s="38"/>
    </row>
    <row r="659" spans="2:12" s="19" customFormat="1" x14ac:dyDescent="0.35">
      <c r="B659" s="41"/>
      <c r="L659" s="38"/>
    </row>
    <row r="660" spans="2:12" s="19" customFormat="1" x14ac:dyDescent="0.35">
      <c r="B660" s="41"/>
      <c r="L660" s="38"/>
    </row>
    <row r="661" spans="2:12" s="19" customFormat="1" x14ac:dyDescent="0.35">
      <c r="B661" s="41"/>
      <c r="L661" s="38"/>
    </row>
    <row r="662" spans="2:12" s="19" customFormat="1" x14ac:dyDescent="0.35">
      <c r="B662" s="41"/>
      <c r="L662" s="38"/>
    </row>
    <row r="663" spans="2:12" s="19" customFormat="1" x14ac:dyDescent="0.35">
      <c r="B663" s="41"/>
      <c r="L663" s="38"/>
    </row>
    <row r="664" spans="2:12" s="19" customFormat="1" x14ac:dyDescent="0.35">
      <c r="B664" s="41"/>
      <c r="L664" s="38"/>
    </row>
    <row r="665" spans="2:12" s="19" customFormat="1" x14ac:dyDescent="0.35">
      <c r="B665" s="41"/>
      <c r="L665" s="38"/>
    </row>
    <row r="666" spans="2:12" s="19" customFormat="1" x14ac:dyDescent="0.35">
      <c r="B666" s="41"/>
      <c r="L666" s="38"/>
    </row>
    <row r="667" spans="2:12" s="19" customFormat="1" x14ac:dyDescent="0.35">
      <c r="B667" s="41"/>
      <c r="L667" s="38"/>
    </row>
    <row r="668" spans="2:12" s="19" customFormat="1" x14ac:dyDescent="0.35">
      <c r="B668" s="41"/>
      <c r="L668" s="38"/>
    </row>
    <row r="669" spans="2:12" s="19" customFormat="1" x14ac:dyDescent="0.35">
      <c r="B669" s="41"/>
      <c r="L669" s="38"/>
    </row>
    <row r="670" spans="2:12" s="19" customFormat="1" x14ac:dyDescent="0.35">
      <c r="B670" s="41"/>
      <c r="L670" s="38"/>
    </row>
    <row r="671" spans="2:12" s="19" customFormat="1" x14ac:dyDescent="0.35">
      <c r="B671" s="41"/>
      <c r="L671" s="38"/>
    </row>
    <row r="672" spans="2:12" s="19" customFormat="1" x14ac:dyDescent="0.35">
      <c r="B672" s="41"/>
      <c r="L672" s="38"/>
    </row>
    <row r="673" spans="2:12" s="19" customFormat="1" x14ac:dyDescent="0.35">
      <c r="B673" s="41"/>
      <c r="L673" s="38"/>
    </row>
    <row r="674" spans="2:12" s="19" customFormat="1" x14ac:dyDescent="0.35">
      <c r="B674" s="41"/>
      <c r="L674" s="38"/>
    </row>
    <row r="675" spans="2:12" s="19" customFormat="1" x14ac:dyDescent="0.35">
      <c r="B675" s="41"/>
      <c r="L675" s="38"/>
    </row>
    <row r="676" spans="2:12" s="19" customFormat="1" x14ac:dyDescent="0.35">
      <c r="B676" s="41"/>
      <c r="L676" s="38"/>
    </row>
    <row r="677" spans="2:12" s="19" customFormat="1" x14ac:dyDescent="0.35">
      <c r="B677" s="41"/>
      <c r="L677" s="38"/>
    </row>
    <row r="678" spans="2:12" s="19" customFormat="1" x14ac:dyDescent="0.35">
      <c r="B678" s="41"/>
      <c r="L678" s="38"/>
    </row>
    <row r="679" spans="2:12" s="19" customFormat="1" x14ac:dyDescent="0.35">
      <c r="B679" s="41"/>
      <c r="L679" s="38"/>
    </row>
    <row r="680" spans="2:12" s="19" customFormat="1" x14ac:dyDescent="0.35">
      <c r="B680" s="41"/>
      <c r="L680" s="38"/>
    </row>
    <row r="681" spans="2:12" s="19" customFormat="1" x14ac:dyDescent="0.35">
      <c r="B681" s="41"/>
      <c r="L681" s="38"/>
    </row>
    <row r="682" spans="2:12" s="19" customFormat="1" x14ac:dyDescent="0.35">
      <c r="B682" s="41"/>
      <c r="L682" s="38"/>
    </row>
    <row r="683" spans="2:12" s="19" customFormat="1" x14ac:dyDescent="0.35">
      <c r="B683" s="41"/>
      <c r="L683" s="38"/>
    </row>
    <row r="684" spans="2:12" s="19" customFormat="1" x14ac:dyDescent="0.35">
      <c r="B684" s="41"/>
      <c r="L684" s="38"/>
    </row>
    <row r="685" spans="2:12" s="19" customFormat="1" x14ac:dyDescent="0.35">
      <c r="B685" s="41"/>
      <c r="L685" s="38"/>
    </row>
    <row r="686" spans="2:12" s="19" customFormat="1" x14ac:dyDescent="0.35">
      <c r="B686" s="41"/>
      <c r="L686" s="38"/>
    </row>
    <row r="687" spans="2:12" s="19" customFormat="1" x14ac:dyDescent="0.35">
      <c r="B687" s="41"/>
      <c r="L687" s="38"/>
    </row>
    <row r="688" spans="2:12" s="19" customFormat="1" x14ac:dyDescent="0.35">
      <c r="B688" s="41"/>
      <c r="L688" s="38"/>
    </row>
    <row r="689" spans="2:12" s="19" customFormat="1" x14ac:dyDescent="0.35">
      <c r="B689" s="41"/>
      <c r="L689" s="38"/>
    </row>
    <row r="690" spans="2:12" s="19" customFormat="1" x14ac:dyDescent="0.35">
      <c r="B690" s="41"/>
      <c r="L690" s="38"/>
    </row>
    <row r="691" spans="2:12" s="19" customFormat="1" x14ac:dyDescent="0.35">
      <c r="B691" s="41"/>
      <c r="L691" s="38"/>
    </row>
    <row r="692" spans="2:12" s="19" customFormat="1" x14ac:dyDescent="0.35">
      <c r="B692" s="41"/>
      <c r="L692" s="38"/>
    </row>
    <row r="693" spans="2:12" s="19" customFormat="1" x14ac:dyDescent="0.35">
      <c r="B693" s="41"/>
      <c r="L693" s="38"/>
    </row>
    <row r="694" spans="2:12" s="19" customFormat="1" x14ac:dyDescent="0.35">
      <c r="B694" s="41"/>
      <c r="L694" s="38"/>
    </row>
    <row r="695" spans="2:12" s="19" customFormat="1" x14ac:dyDescent="0.35">
      <c r="B695" s="41"/>
      <c r="L695" s="38"/>
    </row>
    <row r="696" spans="2:12" s="19" customFormat="1" x14ac:dyDescent="0.35">
      <c r="B696" s="41"/>
      <c r="L696" s="38"/>
    </row>
    <row r="697" spans="2:12" s="19" customFormat="1" x14ac:dyDescent="0.35">
      <c r="B697" s="41"/>
      <c r="L697" s="38"/>
    </row>
    <row r="698" spans="2:12" s="19" customFormat="1" x14ac:dyDescent="0.35">
      <c r="B698" s="41"/>
      <c r="L698" s="38"/>
    </row>
    <row r="699" spans="2:12" s="19" customFormat="1" x14ac:dyDescent="0.35">
      <c r="B699" s="41"/>
      <c r="L699" s="38"/>
    </row>
    <row r="700" spans="2:12" s="19" customFormat="1" x14ac:dyDescent="0.35">
      <c r="B700" s="41"/>
      <c r="L700" s="38"/>
    </row>
    <row r="701" spans="2:12" s="19" customFormat="1" x14ac:dyDescent="0.35">
      <c r="B701" s="41"/>
      <c r="L701" s="38"/>
    </row>
    <row r="702" spans="2:12" s="19" customFormat="1" x14ac:dyDescent="0.35">
      <c r="B702" s="41"/>
      <c r="L702" s="38"/>
    </row>
    <row r="703" spans="2:12" s="19" customFormat="1" x14ac:dyDescent="0.35">
      <c r="B703" s="41"/>
      <c r="L703" s="38"/>
    </row>
    <row r="704" spans="2:12" s="19" customFormat="1" x14ac:dyDescent="0.35">
      <c r="B704" s="41"/>
      <c r="L704" s="38"/>
    </row>
    <row r="705" spans="2:12" s="19" customFormat="1" x14ac:dyDescent="0.35">
      <c r="B705" s="41"/>
      <c r="L705" s="38"/>
    </row>
    <row r="706" spans="2:12" s="19" customFormat="1" x14ac:dyDescent="0.35">
      <c r="B706" s="41"/>
      <c r="L706" s="38"/>
    </row>
    <row r="707" spans="2:12" s="19" customFormat="1" x14ac:dyDescent="0.35">
      <c r="B707" s="41"/>
      <c r="L707" s="38"/>
    </row>
    <row r="708" spans="2:12" s="19" customFormat="1" x14ac:dyDescent="0.35">
      <c r="B708" s="41"/>
      <c r="L708" s="38"/>
    </row>
    <row r="709" spans="2:12" s="19" customFormat="1" x14ac:dyDescent="0.35">
      <c r="B709" s="41"/>
      <c r="L709" s="38"/>
    </row>
    <row r="710" spans="2:12" s="19" customFormat="1" x14ac:dyDescent="0.35">
      <c r="B710" s="41"/>
      <c r="L710" s="38"/>
    </row>
    <row r="711" spans="2:12" s="19" customFormat="1" x14ac:dyDescent="0.35">
      <c r="B711" s="41"/>
      <c r="L711" s="38"/>
    </row>
    <row r="712" spans="2:12" s="19" customFormat="1" x14ac:dyDescent="0.35">
      <c r="B712" s="41"/>
      <c r="L712" s="38"/>
    </row>
    <row r="713" spans="2:12" s="19" customFormat="1" x14ac:dyDescent="0.35">
      <c r="B713" s="41"/>
      <c r="L713" s="38"/>
    </row>
    <row r="714" spans="2:12" s="19" customFormat="1" x14ac:dyDescent="0.35">
      <c r="B714" s="41"/>
      <c r="L714" s="38"/>
    </row>
    <row r="715" spans="2:12" s="19" customFormat="1" x14ac:dyDescent="0.35">
      <c r="B715" s="41"/>
      <c r="L715" s="38"/>
    </row>
    <row r="716" spans="2:12" s="19" customFormat="1" x14ac:dyDescent="0.35">
      <c r="B716" s="41"/>
      <c r="L716" s="38"/>
    </row>
    <row r="717" spans="2:12" s="19" customFormat="1" x14ac:dyDescent="0.35">
      <c r="B717" s="41"/>
      <c r="L717" s="38"/>
    </row>
    <row r="718" spans="2:12" s="19" customFormat="1" x14ac:dyDescent="0.35">
      <c r="B718" s="41"/>
      <c r="L718" s="38"/>
    </row>
    <row r="719" spans="2:12" s="19" customFormat="1" x14ac:dyDescent="0.35">
      <c r="B719" s="41"/>
      <c r="L719" s="38"/>
    </row>
    <row r="720" spans="2:12" s="19" customFormat="1" x14ac:dyDescent="0.35">
      <c r="B720" s="41"/>
      <c r="L720" s="38"/>
    </row>
    <row r="721" spans="2:12" s="19" customFormat="1" x14ac:dyDescent="0.35">
      <c r="B721" s="41"/>
      <c r="L721" s="38"/>
    </row>
    <row r="722" spans="2:12" s="19" customFormat="1" x14ac:dyDescent="0.35">
      <c r="B722" s="41"/>
      <c r="L722" s="38"/>
    </row>
    <row r="723" spans="2:12" s="19" customFormat="1" x14ac:dyDescent="0.35">
      <c r="B723" s="41"/>
      <c r="L723" s="38"/>
    </row>
    <row r="724" spans="2:12" s="19" customFormat="1" x14ac:dyDescent="0.35">
      <c r="B724" s="41"/>
      <c r="L724" s="38"/>
    </row>
    <row r="725" spans="2:12" s="19" customFormat="1" x14ac:dyDescent="0.35">
      <c r="B725" s="41"/>
      <c r="L725" s="38"/>
    </row>
    <row r="726" spans="2:12" s="19" customFormat="1" x14ac:dyDescent="0.35">
      <c r="B726" s="41"/>
      <c r="L726" s="38"/>
    </row>
    <row r="727" spans="2:12" s="19" customFormat="1" x14ac:dyDescent="0.35">
      <c r="B727" s="41"/>
      <c r="L727" s="38"/>
    </row>
    <row r="728" spans="2:12" s="19" customFormat="1" x14ac:dyDescent="0.35">
      <c r="B728" s="41"/>
      <c r="L728" s="38"/>
    </row>
    <row r="729" spans="2:12" s="19" customFormat="1" x14ac:dyDescent="0.35">
      <c r="B729" s="41"/>
      <c r="L729" s="38"/>
    </row>
    <row r="730" spans="2:12" s="19" customFormat="1" x14ac:dyDescent="0.35">
      <c r="B730" s="41"/>
      <c r="L730" s="38"/>
    </row>
    <row r="731" spans="2:12" s="19" customFormat="1" x14ac:dyDescent="0.35">
      <c r="B731" s="41"/>
      <c r="L731" s="38"/>
    </row>
    <row r="732" spans="2:12" s="19" customFormat="1" x14ac:dyDescent="0.35">
      <c r="B732" s="41"/>
      <c r="L732" s="38"/>
    </row>
    <row r="733" spans="2:12" s="19" customFormat="1" x14ac:dyDescent="0.35">
      <c r="B733" s="41"/>
      <c r="L733" s="38"/>
    </row>
    <row r="734" spans="2:12" s="19" customFormat="1" x14ac:dyDescent="0.35">
      <c r="B734" s="41"/>
      <c r="L734" s="38"/>
    </row>
    <row r="735" spans="2:12" s="19" customFormat="1" x14ac:dyDescent="0.35">
      <c r="B735" s="41"/>
      <c r="L735" s="38"/>
    </row>
    <row r="736" spans="2:12" s="19" customFormat="1" x14ac:dyDescent="0.35">
      <c r="B736" s="41"/>
      <c r="L736" s="38"/>
    </row>
    <row r="737" spans="2:12" s="19" customFormat="1" x14ac:dyDescent="0.35">
      <c r="B737" s="41"/>
      <c r="L737" s="38"/>
    </row>
    <row r="738" spans="2:12" s="19" customFormat="1" x14ac:dyDescent="0.35">
      <c r="B738" s="41"/>
      <c r="L738" s="38"/>
    </row>
    <row r="739" spans="2:12" s="19" customFormat="1" x14ac:dyDescent="0.35">
      <c r="B739" s="41"/>
      <c r="L739" s="38"/>
    </row>
    <row r="740" spans="2:12" s="19" customFormat="1" x14ac:dyDescent="0.35">
      <c r="B740" s="41"/>
      <c r="L740" s="38"/>
    </row>
    <row r="741" spans="2:12" s="19" customFormat="1" x14ac:dyDescent="0.35">
      <c r="B741" s="41"/>
      <c r="L741" s="38"/>
    </row>
    <row r="742" spans="2:12" s="19" customFormat="1" x14ac:dyDescent="0.35">
      <c r="B742" s="41"/>
      <c r="L742" s="38"/>
    </row>
    <row r="743" spans="2:12" s="19" customFormat="1" x14ac:dyDescent="0.35">
      <c r="B743" s="41"/>
      <c r="L743" s="38"/>
    </row>
    <row r="744" spans="2:12" s="19" customFormat="1" x14ac:dyDescent="0.35">
      <c r="B744" s="41"/>
      <c r="L744" s="38"/>
    </row>
    <row r="745" spans="2:12" s="19" customFormat="1" x14ac:dyDescent="0.35">
      <c r="B745" s="41"/>
      <c r="L745" s="38"/>
    </row>
    <row r="746" spans="2:12" s="19" customFormat="1" x14ac:dyDescent="0.35">
      <c r="B746" s="41"/>
      <c r="L746" s="38"/>
    </row>
    <row r="747" spans="2:12" s="19" customFormat="1" x14ac:dyDescent="0.35">
      <c r="B747" s="41"/>
      <c r="L747" s="38"/>
    </row>
    <row r="748" spans="2:12" s="19" customFormat="1" x14ac:dyDescent="0.35">
      <c r="B748" s="41"/>
      <c r="L748" s="38"/>
    </row>
    <row r="749" spans="2:12" s="19" customFormat="1" x14ac:dyDescent="0.35">
      <c r="B749" s="41"/>
      <c r="L749" s="38"/>
    </row>
    <row r="750" spans="2:12" s="19" customFormat="1" x14ac:dyDescent="0.35">
      <c r="B750" s="41"/>
      <c r="L750" s="38"/>
    </row>
    <row r="751" spans="2:12" s="19" customFormat="1" x14ac:dyDescent="0.35">
      <c r="B751" s="41"/>
      <c r="L751" s="38"/>
    </row>
    <row r="752" spans="2:12" s="19" customFormat="1" x14ac:dyDescent="0.35">
      <c r="B752" s="41"/>
      <c r="L752" s="38"/>
    </row>
    <row r="753" spans="2:12" s="19" customFormat="1" x14ac:dyDescent="0.35">
      <c r="B753" s="41"/>
      <c r="L753" s="38"/>
    </row>
    <row r="754" spans="2:12" s="19" customFormat="1" x14ac:dyDescent="0.35">
      <c r="B754" s="41"/>
      <c r="L754" s="38"/>
    </row>
    <row r="755" spans="2:12" s="19" customFormat="1" x14ac:dyDescent="0.35">
      <c r="B755" s="41"/>
      <c r="L755" s="38"/>
    </row>
    <row r="756" spans="2:12" s="19" customFormat="1" x14ac:dyDescent="0.35">
      <c r="B756" s="41"/>
      <c r="L756" s="38"/>
    </row>
    <row r="757" spans="2:12" s="19" customFormat="1" x14ac:dyDescent="0.35">
      <c r="B757" s="41"/>
      <c r="L757" s="38"/>
    </row>
    <row r="758" spans="2:12" s="19" customFormat="1" x14ac:dyDescent="0.35">
      <c r="B758" s="41"/>
      <c r="L758" s="38"/>
    </row>
    <row r="759" spans="2:12" s="19" customFormat="1" x14ac:dyDescent="0.35">
      <c r="B759" s="41"/>
      <c r="L759" s="38"/>
    </row>
    <row r="760" spans="2:12" s="19" customFormat="1" x14ac:dyDescent="0.35">
      <c r="B760" s="41"/>
      <c r="L760" s="38"/>
    </row>
    <row r="761" spans="2:12" s="19" customFormat="1" x14ac:dyDescent="0.35">
      <c r="B761" s="41"/>
      <c r="L761" s="38"/>
    </row>
    <row r="762" spans="2:12" s="19" customFormat="1" x14ac:dyDescent="0.35">
      <c r="B762" s="41"/>
      <c r="L762" s="38"/>
    </row>
    <row r="763" spans="2:12" s="19" customFormat="1" x14ac:dyDescent="0.35">
      <c r="B763" s="41"/>
      <c r="L763" s="38"/>
    </row>
    <row r="764" spans="2:12" s="19" customFormat="1" x14ac:dyDescent="0.35">
      <c r="B764" s="41"/>
      <c r="L764" s="38"/>
    </row>
    <row r="765" spans="2:12" s="19" customFormat="1" x14ac:dyDescent="0.35">
      <c r="B765" s="41"/>
      <c r="L765" s="38"/>
    </row>
    <row r="766" spans="2:12" s="19" customFormat="1" x14ac:dyDescent="0.35">
      <c r="B766" s="41"/>
      <c r="L766" s="38"/>
    </row>
    <row r="767" spans="2:12" s="19" customFormat="1" x14ac:dyDescent="0.35">
      <c r="B767" s="41"/>
      <c r="L767" s="38"/>
    </row>
    <row r="768" spans="2:12" s="19" customFormat="1" x14ac:dyDescent="0.35">
      <c r="B768" s="41"/>
      <c r="L768" s="38"/>
    </row>
    <row r="769" spans="2:12" s="19" customFormat="1" x14ac:dyDescent="0.35">
      <c r="B769" s="41"/>
      <c r="L769" s="38"/>
    </row>
    <row r="770" spans="2:12" s="19" customFormat="1" x14ac:dyDescent="0.35">
      <c r="B770" s="41"/>
      <c r="L770" s="38"/>
    </row>
    <row r="771" spans="2:12" s="19" customFormat="1" x14ac:dyDescent="0.35">
      <c r="B771" s="41"/>
      <c r="L771" s="38"/>
    </row>
    <row r="772" spans="2:12" s="19" customFormat="1" x14ac:dyDescent="0.35">
      <c r="B772" s="41"/>
      <c r="L772" s="38"/>
    </row>
    <row r="773" spans="2:12" s="19" customFormat="1" x14ac:dyDescent="0.35">
      <c r="B773" s="41"/>
      <c r="L773" s="38"/>
    </row>
    <row r="774" spans="2:12" s="19" customFormat="1" x14ac:dyDescent="0.35">
      <c r="B774" s="41"/>
      <c r="L774" s="38"/>
    </row>
    <row r="775" spans="2:12" s="19" customFormat="1" x14ac:dyDescent="0.35">
      <c r="B775" s="41"/>
      <c r="L775" s="38"/>
    </row>
    <row r="776" spans="2:12" s="19" customFormat="1" x14ac:dyDescent="0.35">
      <c r="B776" s="41"/>
      <c r="L776" s="38"/>
    </row>
    <row r="777" spans="2:12" s="19" customFormat="1" x14ac:dyDescent="0.35">
      <c r="B777" s="41"/>
      <c r="L777" s="38"/>
    </row>
    <row r="778" spans="2:12" s="19" customFormat="1" x14ac:dyDescent="0.35">
      <c r="B778" s="41"/>
      <c r="L778" s="38"/>
    </row>
    <row r="779" spans="2:12" s="19" customFormat="1" x14ac:dyDescent="0.35">
      <c r="B779" s="41"/>
      <c r="L779" s="38"/>
    </row>
    <row r="780" spans="2:12" s="19" customFormat="1" x14ac:dyDescent="0.35">
      <c r="B780" s="41"/>
      <c r="L780" s="38"/>
    </row>
    <row r="781" spans="2:12" s="19" customFormat="1" x14ac:dyDescent="0.35">
      <c r="B781" s="41"/>
      <c r="L781" s="38"/>
    </row>
    <row r="782" spans="2:12" s="19" customFormat="1" x14ac:dyDescent="0.35">
      <c r="B782" s="41"/>
      <c r="L782" s="38"/>
    </row>
    <row r="783" spans="2:12" s="19" customFormat="1" x14ac:dyDescent="0.35">
      <c r="B783" s="41"/>
      <c r="L783" s="38"/>
    </row>
    <row r="784" spans="2:12" s="19" customFormat="1" x14ac:dyDescent="0.35">
      <c r="B784" s="41"/>
      <c r="L784" s="38"/>
    </row>
    <row r="785" spans="2:12" s="19" customFormat="1" x14ac:dyDescent="0.35">
      <c r="B785" s="41"/>
      <c r="L785" s="38"/>
    </row>
    <row r="786" spans="2:12" s="19" customFormat="1" x14ac:dyDescent="0.35">
      <c r="B786" s="41"/>
      <c r="L786" s="38"/>
    </row>
    <row r="787" spans="2:12" s="19" customFormat="1" x14ac:dyDescent="0.35">
      <c r="B787" s="41"/>
      <c r="L787" s="38"/>
    </row>
    <row r="788" spans="2:12" s="19" customFormat="1" x14ac:dyDescent="0.35">
      <c r="B788" s="41"/>
      <c r="L788" s="38"/>
    </row>
    <row r="789" spans="2:12" s="19" customFormat="1" x14ac:dyDescent="0.35">
      <c r="B789" s="41"/>
      <c r="L789" s="38"/>
    </row>
    <row r="790" spans="2:12" s="19" customFormat="1" x14ac:dyDescent="0.35">
      <c r="B790" s="41"/>
      <c r="L790" s="38"/>
    </row>
    <row r="791" spans="2:12" s="19" customFormat="1" x14ac:dyDescent="0.35">
      <c r="B791" s="41"/>
      <c r="L791" s="38"/>
    </row>
    <row r="792" spans="2:12" s="19" customFormat="1" x14ac:dyDescent="0.35">
      <c r="B792" s="41"/>
      <c r="L792" s="38"/>
    </row>
    <row r="793" spans="2:12" s="19" customFormat="1" x14ac:dyDescent="0.35">
      <c r="B793" s="41"/>
      <c r="L793" s="38"/>
    </row>
    <row r="794" spans="2:12" s="19" customFormat="1" x14ac:dyDescent="0.35">
      <c r="B794" s="41"/>
      <c r="L794" s="38"/>
    </row>
    <row r="795" spans="2:12" s="19" customFormat="1" x14ac:dyDescent="0.35">
      <c r="B795" s="41"/>
      <c r="L795" s="38"/>
    </row>
    <row r="796" spans="2:12" s="19" customFormat="1" x14ac:dyDescent="0.35">
      <c r="B796" s="41"/>
      <c r="L796" s="38"/>
    </row>
    <row r="797" spans="2:12" s="19" customFormat="1" x14ac:dyDescent="0.35">
      <c r="B797" s="41"/>
      <c r="L797" s="38"/>
    </row>
    <row r="798" spans="2:12" s="19" customFormat="1" x14ac:dyDescent="0.35">
      <c r="B798" s="41"/>
      <c r="L798" s="38"/>
    </row>
    <row r="799" spans="2:12" s="19" customFormat="1" x14ac:dyDescent="0.35">
      <c r="B799" s="41"/>
      <c r="L799" s="38"/>
    </row>
    <row r="800" spans="2:12" s="19" customFormat="1" x14ac:dyDescent="0.35">
      <c r="B800" s="41"/>
      <c r="L800" s="38"/>
    </row>
    <row r="801" spans="2:12" s="19" customFormat="1" x14ac:dyDescent="0.35">
      <c r="B801" s="41"/>
      <c r="L801" s="38"/>
    </row>
    <row r="802" spans="2:12" s="19" customFormat="1" x14ac:dyDescent="0.35">
      <c r="B802" s="41"/>
      <c r="L802" s="38"/>
    </row>
    <row r="803" spans="2:12" s="19" customFormat="1" x14ac:dyDescent="0.35">
      <c r="B803" s="41"/>
      <c r="L803" s="38"/>
    </row>
    <row r="804" spans="2:12" s="19" customFormat="1" x14ac:dyDescent="0.35">
      <c r="B804" s="41"/>
      <c r="L804" s="38"/>
    </row>
    <row r="805" spans="2:12" s="19" customFormat="1" x14ac:dyDescent="0.35">
      <c r="B805" s="41"/>
      <c r="L805" s="38"/>
    </row>
    <row r="806" spans="2:12" s="19" customFormat="1" x14ac:dyDescent="0.35">
      <c r="B806" s="41"/>
      <c r="L806" s="38"/>
    </row>
    <row r="807" spans="2:12" s="19" customFormat="1" x14ac:dyDescent="0.35">
      <c r="B807" s="41"/>
      <c r="L807" s="38"/>
    </row>
    <row r="808" spans="2:12" s="19" customFormat="1" x14ac:dyDescent="0.35">
      <c r="B808" s="41"/>
      <c r="L808" s="38"/>
    </row>
    <row r="809" spans="2:12" s="19" customFormat="1" x14ac:dyDescent="0.35">
      <c r="B809" s="41"/>
      <c r="L809" s="38"/>
    </row>
    <row r="810" spans="2:12" s="19" customFormat="1" x14ac:dyDescent="0.35">
      <c r="B810" s="41"/>
      <c r="L810" s="38"/>
    </row>
    <row r="811" spans="2:12" s="19" customFormat="1" x14ac:dyDescent="0.35">
      <c r="B811" s="41"/>
      <c r="L811" s="38"/>
    </row>
    <row r="812" spans="2:12" s="19" customFormat="1" x14ac:dyDescent="0.35">
      <c r="B812" s="41"/>
      <c r="L812" s="38"/>
    </row>
    <row r="813" spans="2:12" s="19" customFormat="1" x14ac:dyDescent="0.35">
      <c r="B813" s="41"/>
      <c r="L813" s="38"/>
    </row>
    <row r="814" spans="2:12" s="19" customFormat="1" x14ac:dyDescent="0.35">
      <c r="B814" s="41"/>
      <c r="L814" s="38"/>
    </row>
    <row r="815" spans="2:12" s="19" customFormat="1" x14ac:dyDescent="0.35">
      <c r="B815" s="41"/>
      <c r="L815" s="38"/>
    </row>
    <row r="816" spans="2:12" s="19" customFormat="1" x14ac:dyDescent="0.35">
      <c r="B816" s="41"/>
      <c r="L816" s="38"/>
    </row>
    <row r="817" spans="2:12" s="19" customFormat="1" x14ac:dyDescent="0.35">
      <c r="B817" s="41"/>
      <c r="L817" s="38"/>
    </row>
    <row r="818" spans="2:12" s="19" customFormat="1" x14ac:dyDescent="0.35">
      <c r="B818" s="41"/>
      <c r="L818" s="38"/>
    </row>
    <row r="819" spans="2:12" s="19" customFormat="1" x14ac:dyDescent="0.35">
      <c r="B819" s="41"/>
      <c r="L819" s="38"/>
    </row>
    <row r="820" spans="2:12" s="19" customFormat="1" x14ac:dyDescent="0.35">
      <c r="B820" s="41"/>
      <c r="L820" s="38"/>
    </row>
    <row r="821" spans="2:12" s="19" customFormat="1" x14ac:dyDescent="0.35">
      <c r="B821" s="41"/>
      <c r="L821" s="38"/>
    </row>
    <row r="822" spans="2:12" s="19" customFormat="1" x14ac:dyDescent="0.35">
      <c r="B822" s="41"/>
      <c r="L822" s="38"/>
    </row>
    <row r="823" spans="2:12" s="19" customFormat="1" x14ac:dyDescent="0.35">
      <c r="B823" s="41"/>
      <c r="L823" s="38"/>
    </row>
    <row r="824" spans="2:12" s="19" customFormat="1" x14ac:dyDescent="0.35">
      <c r="B824" s="41"/>
      <c r="L824" s="38"/>
    </row>
    <row r="825" spans="2:12" s="19" customFormat="1" x14ac:dyDescent="0.35">
      <c r="B825" s="41"/>
      <c r="L825" s="38"/>
    </row>
    <row r="826" spans="2:12" s="19" customFormat="1" x14ac:dyDescent="0.35">
      <c r="B826" s="41"/>
      <c r="L826" s="38"/>
    </row>
    <row r="827" spans="2:12" s="19" customFormat="1" x14ac:dyDescent="0.35">
      <c r="B827" s="41"/>
      <c r="L827" s="38"/>
    </row>
    <row r="828" spans="2:12" s="19" customFormat="1" x14ac:dyDescent="0.35">
      <c r="B828" s="41"/>
      <c r="L828" s="38"/>
    </row>
    <row r="829" spans="2:12" s="19" customFormat="1" x14ac:dyDescent="0.35">
      <c r="B829" s="41"/>
      <c r="L829" s="38"/>
    </row>
    <row r="830" spans="2:12" s="19" customFormat="1" x14ac:dyDescent="0.35">
      <c r="B830" s="41"/>
      <c r="L830" s="38"/>
    </row>
    <row r="831" spans="2:12" s="19" customFormat="1" x14ac:dyDescent="0.35">
      <c r="B831" s="41"/>
      <c r="L831" s="38"/>
    </row>
    <row r="832" spans="2:12" s="19" customFormat="1" x14ac:dyDescent="0.35">
      <c r="B832" s="41"/>
      <c r="L832" s="38"/>
    </row>
    <row r="833" spans="2:12" s="19" customFormat="1" x14ac:dyDescent="0.35">
      <c r="B833" s="41"/>
      <c r="L833" s="38"/>
    </row>
    <row r="834" spans="2:12" s="19" customFormat="1" x14ac:dyDescent="0.35">
      <c r="B834" s="41"/>
      <c r="L834" s="38"/>
    </row>
    <row r="835" spans="2:12" s="19" customFormat="1" x14ac:dyDescent="0.35">
      <c r="B835" s="41"/>
      <c r="L835" s="38"/>
    </row>
    <row r="836" spans="2:12" s="19" customFormat="1" x14ac:dyDescent="0.35">
      <c r="B836" s="41"/>
      <c r="L836" s="38"/>
    </row>
    <row r="837" spans="2:12" s="19" customFormat="1" x14ac:dyDescent="0.35">
      <c r="B837" s="41"/>
      <c r="L837" s="38"/>
    </row>
    <row r="838" spans="2:12" s="19" customFormat="1" x14ac:dyDescent="0.35">
      <c r="B838" s="41"/>
      <c r="L838" s="38"/>
    </row>
    <row r="839" spans="2:12" s="19" customFormat="1" x14ac:dyDescent="0.35">
      <c r="B839" s="41"/>
      <c r="L839" s="38"/>
    </row>
    <row r="840" spans="2:12" s="19" customFormat="1" x14ac:dyDescent="0.35">
      <c r="B840" s="41"/>
      <c r="L840" s="38"/>
    </row>
    <row r="841" spans="2:12" s="19" customFormat="1" x14ac:dyDescent="0.35">
      <c r="B841" s="41"/>
      <c r="L841" s="38"/>
    </row>
    <row r="842" spans="2:12" s="19" customFormat="1" x14ac:dyDescent="0.35">
      <c r="B842" s="41"/>
      <c r="L842" s="38"/>
    </row>
    <row r="843" spans="2:12" s="19" customFormat="1" x14ac:dyDescent="0.35">
      <c r="B843" s="41"/>
      <c r="L843" s="38"/>
    </row>
    <row r="844" spans="2:12" s="19" customFormat="1" x14ac:dyDescent="0.35">
      <c r="B844" s="41"/>
      <c r="L844" s="38"/>
    </row>
    <row r="845" spans="2:12" s="19" customFormat="1" x14ac:dyDescent="0.35">
      <c r="B845" s="41"/>
      <c r="L845" s="38"/>
    </row>
    <row r="846" spans="2:12" s="19" customFormat="1" x14ac:dyDescent="0.35">
      <c r="B846" s="41"/>
      <c r="L846" s="38"/>
    </row>
    <row r="847" spans="2:12" s="19" customFormat="1" x14ac:dyDescent="0.35">
      <c r="B847" s="41"/>
      <c r="L847" s="38"/>
    </row>
    <row r="848" spans="2:12" s="19" customFormat="1" x14ac:dyDescent="0.35">
      <c r="B848" s="41"/>
      <c r="L848" s="38"/>
    </row>
    <row r="849" spans="2:12" s="19" customFormat="1" x14ac:dyDescent="0.35">
      <c r="B849" s="41"/>
      <c r="L849" s="38"/>
    </row>
    <row r="850" spans="2:12" s="19" customFormat="1" x14ac:dyDescent="0.35">
      <c r="B850" s="41"/>
      <c r="L850" s="38"/>
    </row>
    <row r="851" spans="2:12" s="19" customFormat="1" x14ac:dyDescent="0.35">
      <c r="B851" s="41"/>
      <c r="L851" s="38"/>
    </row>
    <row r="852" spans="2:12" s="19" customFormat="1" x14ac:dyDescent="0.35">
      <c r="B852" s="41"/>
      <c r="L852" s="38"/>
    </row>
    <row r="853" spans="2:12" s="19" customFormat="1" x14ac:dyDescent="0.35">
      <c r="B853" s="41"/>
      <c r="L853" s="38"/>
    </row>
    <row r="854" spans="2:12" s="19" customFormat="1" x14ac:dyDescent="0.35">
      <c r="B854" s="41"/>
      <c r="L854" s="38"/>
    </row>
    <row r="855" spans="2:12" s="19" customFormat="1" x14ac:dyDescent="0.35">
      <c r="B855" s="41"/>
      <c r="L855" s="38"/>
    </row>
    <row r="856" spans="2:12" s="19" customFormat="1" x14ac:dyDescent="0.35">
      <c r="B856" s="41"/>
      <c r="L856" s="38"/>
    </row>
    <row r="857" spans="2:12" s="19" customFormat="1" x14ac:dyDescent="0.35">
      <c r="B857" s="41"/>
      <c r="L857" s="38"/>
    </row>
    <row r="858" spans="2:12" s="19" customFormat="1" x14ac:dyDescent="0.35">
      <c r="B858" s="41"/>
      <c r="L858" s="38"/>
    </row>
    <row r="859" spans="2:12" s="19" customFormat="1" x14ac:dyDescent="0.35">
      <c r="B859" s="41"/>
      <c r="L859" s="38"/>
    </row>
    <row r="860" spans="2:12" s="19" customFormat="1" x14ac:dyDescent="0.35">
      <c r="B860" s="41"/>
      <c r="L860" s="38"/>
    </row>
    <row r="861" spans="2:12" s="19" customFormat="1" x14ac:dyDescent="0.35">
      <c r="B861" s="41"/>
      <c r="L861" s="38"/>
    </row>
    <row r="862" spans="2:12" s="19" customFormat="1" x14ac:dyDescent="0.35">
      <c r="B862" s="41"/>
      <c r="L862" s="38"/>
    </row>
    <row r="863" spans="2:12" s="19" customFormat="1" x14ac:dyDescent="0.35">
      <c r="B863" s="41"/>
      <c r="L863" s="38"/>
    </row>
    <row r="864" spans="2:12" s="19" customFormat="1" x14ac:dyDescent="0.35">
      <c r="B864" s="41"/>
      <c r="L864" s="38"/>
    </row>
    <row r="865" spans="2:12" s="19" customFormat="1" x14ac:dyDescent="0.35">
      <c r="B865" s="41"/>
      <c r="L865" s="38"/>
    </row>
    <row r="866" spans="2:12" s="19" customFormat="1" x14ac:dyDescent="0.35">
      <c r="B866" s="41"/>
      <c r="L866" s="38"/>
    </row>
    <row r="867" spans="2:12" s="19" customFormat="1" x14ac:dyDescent="0.35">
      <c r="B867" s="41"/>
      <c r="L867" s="38"/>
    </row>
    <row r="868" spans="2:12" s="19" customFormat="1" x14ac:dyDescent="0.35">
      <c r="B868" s="41"/>
      <c r="L868" s="38"/>
    </row>
    <row r="869" spans="2:12" s="19" customFormat="1" x14ac:dyDescent="0.35">
      <c r="B869" s="41"/>
      <c r="L869" s="38"/>
    </row>
    <row r="870" spans="2:12" s="19" customFormat="1" x14ac:dyDescent="0.35">
      <c r="B870" s="41"/>
      <c r="L870" s="38"/>
    </row>
    <row r="871" spans="2:12" s="19" customFormat="1" x14ac:dyDescent="0.35">
      <c r="B871" s="41"/>
      <c r="L871" s="38"/>
    </row>
    <row r="872" spans="2:12" s="19" customFormat="1" x14ac:dyDescent="0.35">
      <c r="B872" s="41"/>
      <c r="L872" s="38"/>
    </row>
    <row r="873" spans="2:12" s="19" customFormat="1" x14ac:dyDescent="0.35">
      <c r="B873" s="41"/>
      <c r="L873" s="38"/>
    </row>
    <row r="874" spans="2:12" s="19" customFormat="1" x14ac:dyDescent="0.35">
      <c r="B874" s="41"/>
      <c r="L874" s="38"/>
    </row>
    <row r="875" spans="2:12" s="19" customFormat="1" x14ac:dyDescent="0.35">
      <c r="B875" s="41"/>
      <c r="L875" s="38"/>
    </row>
    <row r="876" spans="2:12" s="19" customFormat="1" x14ac:dyDescent="0.35">
      <c r="B876" s="41"/>
      <c r="L876" s="38"/>
    </row>
    <row r="877" spans="2:12" s="19" customFormat="1" x14ac:dyDescent="0.35">
      <c r="B877" s="41"/>
      <c r="L877" s="38"/>
    </row>
    <row r="878" spans="2:12" s="19" customFormat="1" x14ac:dyDescent="0.35">
      <c r="B878" s="41"/>
      <c r="L878" s="38"/>
    </row>
    <row r="879" spans="2:12" s="19" customFormat="1" x14ac:dyDescent="0.35">
      <c r="B879" s="41"/>
      <c r="L879" s="38"/>
    </row>
    <row r="880" spans="2:12" s="19" customFormat="1" x14ac:dyDescent="0.35">
      <c r="B880" s="41"/>
      <c r="L880" s="38"/>
    </row>
    <row r="881" spans="2:12" s="19" customFormat="1" x14ac:dyDescent="0.35">
      <c r="B881" s="41"/>
      <c r="L881" s="38"/>
    </row>
    <row r="882" spans="2:12" s="19" customFormat="1" x14ac:dyDescent="0.35">
      <c r="B882" s="41"/>
      <c r="L882" s="38"/>
    </row>
    <row r="883" spans="2:12" s="19" customFormat="1" x14ac:dyDescent="0.35">
      <c r="B883" s="41"/>
      <c r="L883" s="38"/>
    </row>
    <row r="884" spans="2:12" s="19" customFormat="1" x14ac:dyDescent="0.35">
      <c r="B884" s="41"/>
      <c r="L884" s="38"/>
    </row>
    <row r="885" spans="2:12" s="19" customFormat="1" x14ac:dyDescent="0.35">
      <c r="B885" s="41"/>
      <c r="L885" s="38"/>
    </row>
    <row r="886" spans="2:12" s="19" customFormat="1" x14ac:dyDescent="0.35">
      <c r="B886" s="41"/>
      <c r="L886" s="38"/>
    </row>
    <row r="887" spans="2:12" s="19" customFormat="1" x14ac:dyDescent="0.35">
      <c r="B887" s="41"/>
      <c r="L887" s="38"/>
    </row>
    <row r="888" spans="2:12" s="19" customFormat="1" x14ac:dyDescent="0.35">
      <c r="B888" s="41"/>
      <c r="L888" s="38"/>
    </row>
    <row r="889" spans="2:12" s="19" customFormat="1" x14ac:dyDescent="0.35">
      <c r="B889" s="41"/>
      <c r="L889" s="38"/>
    </row>
    <row r="890" spans="2:12" s="19" customFormat="1" x14ac:dyDescent="0.35">
      <c r="B890" s="41"/>
      <c r="L890" s="38"/>
    </row>
    <row r="891" spans="2:12" s="19" customFormat="1" x14ac:dyDescent="0.35">
      <c r="B891" s="41"/>
      <c r="L891" s="38"/>
    </row>
    <row r="892" spans="2:12" s="19" customFormat="1" x14ac:dyDescent="0.35">
      <c r="B892" s="41"/>
      <c r="L892" s="38"/>
    </row>
    <row r="893" spans="2:12" s="19" customFormat="1" x14ac:dyDescent="0.35">
      <c r="B893" s="41"/>
      <c r="L893" s="38"/>
    </row>
    <row r="894" spans="2:12" s="19" customFormat="1" x14ac:dyDescent="0.35">
      <c r="B894" s="41"/>
      <c r="L894" s="38"/>
    </row>
    <row r="895" spans="2:12" s="19" customFormat="1" x14ac:dyDescent="0.35">
      <c r="B895" s="41"/>
      <c r="L895" s="38"/>
    </row>
    <row r="896" spans="2:12" s="19" customFormat="1" x14ac:dyDescent="0.35">
      <c r="B896" s="41"/>
      <c r="L896" s="38"/>
    </row>
    <row r="897" spans="2:12" s="19" customFormat="1" x14ac:dyDescent="0.35">
      <c r="B897" s="41"/>
      <c r="L897" s="38"/>
    </row>
    <row r="898" spans="2:12" s="19" customFormat="1" x14ac:dyDescent="0.35">
      <c r="B898" s="41"/>
      <c r="L898" s="38"/>
    </row>
    <row r="899" spans="2:12" s="19" customFormat="1" x14ac:dyDescent="0.35">
      <c r="B899" s="41"/>
      <c r="L899" s="38"/>
    </row>
    <row r="900" spans="2:12" s="19" customFormat="1" x14ac:dyDescent="0.35">
      <c r="B900" s="41"/>
      <c r="L900" s="38"/>
    </row>
    <row r="901" spans="2:12" s="19" customFormat="1" x14ac:dyDescent="0.35">
      <c r="B901" s="41"/>
      <c r="L901" s="38"/>
    </row>
    <row r="902" spans="2:12" s="19" customFormat="1" x14ac:dyDescent="0.35">
      <c r="B902" s="41"/>
      <c r="L902" s="38"/>
    </row>
    <row r="903" spans="2:12" s="19" customFormat="1" x14ac:dyDescent="0.35">
      <c r="B903" s="41"/>
      <c r="L903" s="38"/>
    </row>
    <row r="904" spans="2:12" s="19" customFormat="1" x14ac:dyDescent="0.35">
      <c r="B904" s="41"/>
      <c r="L904" s="38"/>
    </row>
    <row r="905" spans="2:12" s="19" customFormat="1" x14ac:dyDescent="0.35">
      <c r="B905" s="41"/>
      <c r="L905" s="38"/>
    </row>
    <row r="906" spans="2:12" s="19" customFormat="1" x14ac:dyDescent="0.35">
      <c r="B906" s="41"/>
      <c r="L906" s="38"/>
    </row>
    <row r="907" spans="2:12" s="19" customFormat="1" x14ac:dyDescent="0.35">
      <c r="B907" s="41"/>
      <c r="L907" s="38"/>
    </row>
    <row r="908" spans="2:12" s="19" customFormat="1" x14ac:dyDescent="0.35">
      <c r="B908" s="41"/>
      <c r="L908" s="38"/>
    </row>
    <row r="909" spans="2:12" s="19" customFormat="1" x14ac:dyDescent="0.35">
      <c r="B909" s="41"/>
      <c r="L909" s="38"/>
    </row>
    <row r="910" spans="2:12" s="19" customFormat="1" x14ac:dyDescent="0.35">
      <c r="B910" s="41"/>
      <c r="L910" s="38"/>
    </row>
    <row r="911" spans="2:12" s="19" customFormat="1" x14ac:dyDescent="0.35">
      <c r="B911" s="41"/>
      <c r="L911" s="38"/>
    </row>
    <row r="912" spans="2:12" s="19" customFormat="1" x14ac:dyDescent="0.35">
      <c r="B912" s="41"/>
      <c r="L912" s="38"/>
    </row>
    <row r="913" spans="2:12" s="19" customFormat="1" x14ac:dyDescent="0.35">
      <c r="B913" s="41"/>
      <c r="L913" s="38"/>
    </row>
    <row r="914" spans="2:12" s="19" customFormat="1" x14ac:dyDescent="0.35">
      <c r="B914" s="41"/>
      <c r="L914" s="38"/>
    </row>
    <row r="915" spans="2:12" s="19" customFormat="1" x14ac:dyDescent="0.35">
      <c r="B915" s="41"/>
      <c r="L915" s="38"/>
    </row>
    <row r="916" spans="2:12" s="19" customFormat="1" x14ac:dyDescent="0.35">
      <c r="B916" s="41"/>
      <c r="L916" s="38"/>
    </row>
    <row r="917" spans="2:12" s="19" customFormat="1" x14ac:dyDescent="0.35">
      <c r="B917" s="41"/>
      <c r="L917" s="38"/>
    </row>
    <row r="918" spans="2:12" s="19" customFormat="1" x14ac:dyDescent="0.35">
      <c r="B918" s="41"/>
      <c r="L918" s="38"/>
    </row>
    <row r="919" spans="2:12" s="19" customFormat="1" x14ac:dyDescent="0.35">
      <c r="B919" s="41"/>
      <c r="L919" s="38"/>
    </row>
    <row r="920" spans="2:12" s="19" customFormat="1" x14ac:dyDescent="0.35">
      <c r="B920" s="41"/>
      <c r="L920" s="38"/>
    </row>
    <row r="921" spans="2:12" s="19" customFormat="1" x14ac:dyDescent="0.35">
      <c r="B921" s="41"/>
      <c r="L921" s="38"/>
    </row>
    <row r="922" spans="2:12" s="19" customFormat="1" x14ac:dyDescent="0.35">
      <c r="B922" s="41"/>
      <c r="L922" s="38"/>
    </row>
    <row r="923" spans="2:12" s="19" customFormat="1" x14ac:dyDescent="0.35">
      <c r="B923" s="41"/>
      <c r="L923" s="38"/>
    </row>
    <row r="924" spans="2:12" s="19" customFormat="1" x14ac:dyDescent="0.35">
      <c r="B924" s="41"/>
      <c r="L924" s="38"/>
    </row>
    <row r="925" spans="2:12" s="19" customFormat="1" x14ac:dyDescent="0.35">
      <c r="B925" s="41"/>
      <c r="L925" s="38"/>
    </row>
    <row r="926" spans="2:12" s="19" customFormat="1" x14ac:dyDescent="0.35">
      <c r="B926" s="41"/>
      <c r="L926" s="38"/>
    </row>
    <row r="927" spans="2:12" s="19" customFormat="1" x14ac:dyDescent="0.35">
      <c r="B927" s="41"/>
      <c r="L927" s="38"/>
    </row>
    <row r="928" spans="2:12" s="19" customFormat="1" x14ac:dyDescent="0.35">
      <c r="B928" s="41"/>
      <c r="L928" s="38"/>
    </row>
    <row r="929" spans="2:12" s="19" customFormat="1" x14ac:dyDescent="0.35">
      <c r="B929" s="41"/>
      <c r="L929" s="38"/>
    </row>
    <row r="930" spans="2:12" s="19" customFormat="1" x14ac:dyDescent="0.35">
      <c r="B930" s="41"/>
      <c r="L930" s="38"/>
    </row>
    <row r="931" spans="2:12" s="19" customFormat="1" x14ac:dyDescent="0.35">
      <c r="B931" s="41"/>
      <c r="L931" s="38"/>
    </row>
    <row r="932" spans="2:12" s="19" customFormat="1" x14ac:dyDescent="0.35">
      <c r="B932" s="41"/>
      <c r="L932" s="38"/>
    </row>
    <row r="933" spans="2:12" s="19" customFormat="1" x14ac:dyDescent="0.35">
      <c r="B933" s="41"/>
      <c r="L933" s="38"/>
    </row>
    <row r="934" spans="2:12" s="19" customFormat="1" x14ac:dyDescent="0.35">
      <c r="B934" s="41"/>
      <c r="L934" s="38"/>
    </row>
    <row r="935" spans="2:12" s="19" customFormat="1" x14ac:dyDescent="0.35">
      <c r="B935" s="41"/>
      <c r="L935" s="38"/>
    </row>
    <row r="936" spans="2:12" s="19" customFormat="1" x14ac:dyDescent="0.35">
      <c r="B936" s="41"/>
      <c r="L936" s="38"/>
    </row>
    <row r="937" spans="2:12" s="19" customFormat="1" x14ac:dyDescent="0.35">
      <c r="B937" s="41"/>
      <c r="L937" s="38"/>
    </row>
    <row r="938" spans="2:12" s="19" customFormat="1" x14ac:dyDescent="0.35">
      <c r="B938" s="41"/>
      <c r="L938" s="38"/>
    </row>
    <row r="939" spans="2:12" s="19" customFormat="1" x14ac:dyDescent="0.35">
      <c r="B939" s="41"/>
      <c r="L939" s="38"/>
    </row>
    <row r="940" spans="2:12" s="19" customFormat="1" x14ac:dyDescent="0.35">
      <c r="B940" s="41"/>
      <c r="L940" s="38"/>
    </row>
    <row r="941" spans="2:12" s="19" customFormat="1" x14ac:dyDescent="0.35">
      <c r="B941" s="41"/>
      <c r="L941" s="38"/>
    </row>
    <row r="942" spans="2:12" s="19" customFormat="1" x14ac:dyDescent="0.35">
      <c r="B942" s="41"/>
      <c r="L942" s="38"/>
    </row>
    <row r="943" spans="2:12" s="19" customFormat="1" x14ac:dyDescent="0.35">
      <c r="B943" s="41"/>
      <c r="L943" s="38"/>
    </row>
    <row r="944" spans="2:12" s="19" customFormat="1" x14ac:dyDescent="0.35">
      <c r="B944" s="41"/>
      <c r="L944" s="38"/>
    </row>
    <row r="945" spans="2:12" s="19" customFormat="1" x14ac:dyDescent="0.35">
      <c r="B945" s="41"/>
      <c r="L945" s="38"/>
    </row>
    <row r="946" spans="2:12" s="19" customFormat="1" x14ac:dyDescent="0.35">
      <c r="B946" s="41"/>
      <c r="L946" s="38"/>
    </row>
    <row r="947" spans="2:12" s="19" customFormat="1" x14ac:dyDescent="0.35">
      <c r="B947" s="41"/>
      <c r="L947" s="38"/>
    </row>
    <row r="948" spans="2:12" s="19" customFormat="1" x14ac:dyDescent="0.35">
      <c r="B948" s="41"/>
      <c r="L948" s="38"/>
    </row>
    <row r="949" spans="2:12" s="19" customFormat="1" x14ac:dyDescent="0.35">
      <c r="B949" s="41"/>
      <c r="L949" s="38"/>
    </row>
    <row r="950" spans="2:12" s="19" customFormat="1" x14ac:dyDescent="0.35">
      <c r="B950" s="41"/>
      <c r="L950" s="38"/>
    </row>
    <row r="951" spans="2:12" s="19" customFormat="1" x14ac:dyDescent="0.35">
      <c r="B951" s="41"/>
      <c r="L951" s="38"/>
    </row>
    <row r="952" spans="2:12" s="19" customFormat="1" x14ac:dyDescent="0.35">
      <c r="B952" s="41"/>
      <c r="L952" s="38"/>
    </row>
    <row r="953" spans="2:12" s="19" customFormat="1" x14ac:dyDescent="0.35">
      <c r="B953" s="41"/>
      <c r="L953" s="38"/>
    </row>
    <row r="954" spans="2:12" s="19" customFormat="1" x14ac:dyDescent="0.35">
      <c r="B954" s="41"/>
      <c r="L954" s="38"/>
    </row>
    <row r="955" spans="2:12" s="19" customFormat="1" x14ac:dyDescent="0.35">
      <c r="B955" s="41"/>
      <c r="L955" s="38"/>
    </row>
    <row r="956" spans="2:12" s="19" customFormat="1" x14ac:dyDescent="0.35">
      <c r="B956" s="41"/>
      <c r="L956" s="38"/>
    </row>
    <row r="957" spans="2:12" s="19" customFormat="1" x14ac:dyDescent="0.35">
      <c r="B957" s="41"/>
      <c r="L957" s="38"/>
    </row>
    <row r="958" spans="2:12" s="19" customFormat="1" x14ac:dyDescent="0.35">
      <c r="B958" s="41"/>
      <c r="L958" s="38"/>
    </row>
    <row r="959" spans="2:12" s="19" customFormat="1" x14ac:dyDescent="0.35">
      <c r="B959" s="41"/>
      <c r="L959" s="38"/>
    </row>
    <row r="960" spans="2:12" s="19" customFormat="1" x14ac:dyDescent="0.35">
      <c r="B960" s="41"/>
      <c r="L960" s="38"/>
    </row>
    <row r="961" spans="2:12" s="19" customFormat="1" x14ac:dyDescent="0.35">
      <c r="B961" s="41"/>
      <c r="L961" s="38"/>
    </row>
    <row r="962" spans="2:12" s="19" customFormat="1" x14ac:dyDescent="0.35">
      <c r="B962" s="41"/>
      <c r="L962" s="38"/>
    </row>
    <row r="963" spans="2:12" s="19" customFormat="1" x14ac:dyDescent="0.35">
      <c r="B963" s="41"/>
      <c r="L963" s="38"/>
    </row>
    <row r="964" spans="2:12" s="19" customFormat="1" x14ac:dyDescent="0.35">
      <c r="B964" s="41"/>
      <c r="L964" s="38"/>
    </row>
    <row r="965" spans="2:12" s="19" customFormat="1" x14ac:dyDescent="0.35">
      <c r="B965" s="41"/>
      <c r="L965" s="38"/>
    </row>
    <row r="966" spans="2:12" s="19" customFormat="1" x14ac:dyDescent="0.35">
      <c r="B966" s="41"/>
      <c r="L966" s="38"/>
    </row>
    <row r="967" spans="2:12" s="19" customFormat="1" x14ac:dyDescent="0.35">
      <c r="B967" s="41"/>
      <c r="L967" s="38"/>
    </row>
    <row r="968" spans="2:12" s="19" customFormat="1" x14ac:dyDescent="0.35">
      <c r="B968" s="41"/>
      <c r="L968" s="38"/>
    </row>
    <row r="969" spans="2:12" s="19" customFormat="1" x14ac:dyDescent="0.35">
      <c r="B969" s="41"/>
      <c r="L969" s="38"/>
    </row>
    <row r="970" spans="2:12" s="19" customFormat="1" x14ac:dyDescent="0.35">
      <c r="B970" s="41"/>
      <c r="L970" s="38"/>
    </row>
    <row r="971" spans="2:12" s="19" customFormat="1" x14ac:dyDescent="0.35">
      <c r="B971" s="41"/>
      <c r="L971" s="38"/>
    </row>
    <row r="972" spans="2:12" s="19" customFormat="1" x14ac:dyDescent="0.35">
      <c r="B972" s="41"/>
      <c r="L972" s="38"/>
    </row>
    <row r="973" spans="2:12" s="19" customFormat="1" x14ac:dyDescent="0.35">
      <c r="B973" s="41"/>
      <c r="L973" s="38"/>
    </row>
    <row r="974" spans="2:12" s="19" customFormat="1" x14ac:dyDescent="0.35">
      <c r="B974" s="41"/>
      <c r="L974" s="38"/>
    </row>
    <row r="975" spans="2:12" s="19" customFormat="1" x14ac:dyDescent="0.35">
      <c r="B975" s="41"/>
      <c r="L975" s="38"/>
    </row>
    <row r="976" spans="2:12" s="19" customFormat="1" x14ac:dyDescent="0.35">
      <c r="B976" s="41"/>
      <c r="L976" s="38"/>
    </row>
    <row r="977" spans="2:12" s="19" customFormat="1" x14ac:dyDescent="0.35">
      <c r="B977" s="41"/>
      <c r="L977" s="38"/>
    </row>
    <row r="978" spans="2:12" s="19" customFormat="1" x14ac:dyDescent="0.35">
      <c r="B978" s="41"/>
      <c r="L978" s="38"/>
    </row>
    <row r="979" spans="2:12" s="19" customFormat="1" x14ac:dyDescent="0.35">
      <c r="B979" s="41"/>
      <c r="L979" s="38"/>
    </row>
    <row r="980" spans="2:12" s="19" customFormat="1" x14ac:dyDescent="0.35">
      <c r="B980" s="41"/>
      <c r="L980" s="38"/>
    </row>
    <row r="981" spans="2:12" s="19" customFormat="1" x14ac:dyDescent="0.35">
      <c r="B981" s="41"/>
      <c r="L981" s="38"/>
    </row>
    <row r="982" spans="2:12" s="19" customFormat="1" x14ac:dyDescent="0.35">
      <c r="B982" s="41"/>
      <c r="L982" s="38"/>
    </row>
    <row r="983" spans="2:12" s="19" customFormat="1" x14ac:dyDescent="0.35">
      <c r="B983" s="41"/>
      <c r="L983" s="38"/>
    </row>
    <row r="984" spans="2:12" s="19" customFormat="1" x14ac:dyDescent="0.35">
      <c r="B984" s="41"/>
      <c r="L984" s="38"/>
    </row>
    <row r="985" spans="2:12" s="19" customFormat="1" x14ac:dyDescent="0.35">
      <c r="B985" s="41"/>
      <c r="L985" s="38"/>
    </row>
    <row r="986" spans="2:12" s="19" customFormat="1" x14ac:dyDescent="0.35">
      <c r="B986" s="41"/>
      <c r="L986" s="38"/>
    </row>
    <row r="987" spans="2:12" s="19" customFormat="1" x14ac:dyDescent="0.35">
      <c r="B987" s="41"/>
      <c r="L987" s="38"/>
    </row>
    <row r="988" spans="2:12" s="19" customFormat="1" x14ac:dyDescent="0.35">
      <c r="B988" s="41"/>
      <c r="L988" s="38"/>
    </row>
    <row r="989" spans="2:12" s="19" customFormat="1" x14ac:dyDescent="0.35">
      <c r="B989" s="41"/>
      <c r="L989" s="38"/>
    </row>
    <row r="990" spans="2:12" s="19" customFormat="1" x14ac:dyDescent="0.35">
      <c r="B990" s="41"/>
      <c r="L990" s="38"/>
    </row>
    <row r="991" spans="2:12" s="19" customFormat="1" x14ac:dyDescent="0.35">
      <c r="B991" s="41"/>
      <c r="L991" s="38"/>
    </row>
    <row r="992" spans="2:12" s="19" customFormat="1" x14ac:dyDescent="0.35">
      <c r="B992" s="41"/>
      <c r="L992" s="38"/>
    </row>
    <row r="993" spans="2:12" s="19" customFormat="1" x14ac:dyDescent="0.35">
      <c r="B993" s="41"/>
      <c r="L993" s="38"/>
    </row>
    <row r="994" spans="2:12" s="19" customFormat="1" x14ac:dyDescent="0.35">
      <c r="B994" s="41"/>
      <c r="L994" s="38"/>
    </row>
    <row r="995" spans="2:12" s="19" customFormat="1" x14ac:dyDescent="0.35">
      <c r="B995" s="41"/>
      <c r="L995" s="38"/>
    </row>
    <row r="996" spans="2:12" s="19" customFormat="1" x14ac:dyDescent="0.35">
      <c r="B996" s="41"/>
      <c r="L996" s="38"/>
    </row>
    <row r="997" spans="2:12" s="19" customFormat="1" x14ac:dyDescent="0.35">
      <c r="B997" s="41"/>
      <c r="L997" s="38"/>
    </row>
    <row r="998" spans="2:12" s="19" customFormat="1" x14ac:dyDescent="0.35">
      <c r="B998" s="41"/>
      <c r="L998" s="38"/>
    </row>
    <row r="999" spans="2:12" s="19" customFormat="1" x14ac:dyDescent="0.35">
      <c r="B999" s="41"/>
      <c r="L999" s="38"/>
    </row>
    <row r="1000" spans="2:12" s="19" customFormat="1" x14ac:dyDescent="0.35">
      <c r="B1000" s="41"/>
      <c r="L1000" s="38"/>
    </row>
    <row r="1001" spans="2:12" s="19" customFormat="1" x14ac:dyDescent="0.35">
      <c r="B1001" s="41"/>
      <c r="L1001" s="38"/>
    </row>
    <row r="1002" spans="2:12" s="19" customFormat="1" x14ac:dyDescent="0.35">
      <c r="B1002" s="41"/>
      <c r="L1002" s="38"/>
    </row>
    <row r="1003" spans="2:12" s="19" customFormat="1" x14ac:dyDescent="0.35">
      <c r="B1003" s="41"/>
      <c r="L1003" s="38"/>
    </row>
    <row r="1004" spans="2:12" s="19" customFormat="1" x14ac:dyDescent="0.35">
      <c r="B1004" s="41"/>
      <c r="L1004" s="38"/>
    </row>
    <row r="1005" spans="2:12" s="19" customFormat="1" x14ac:dyDescent="0.35">
      <c r="B1005" s="41"/>
      <c r="L1005" s="38"/>
    </row>
    <row r="1006" spans="2:12" s="19" customFormat="1" x14ac:dyDescent="0.35">
      <c r="B1006" s="41"/>
      <c r="L1006" s="38"/>
    </row>
    <row r="1007" spans="2:12" s="19" customFormat="1" x14ac:dyDescent="0.35">
      <c r="B1007" s="41"/>
      <c r="L1007" s="38"/>
    </row>
    <row r="1008" spans="2:12" s="19" customFormat="1" x14ac:dyDescent="0.35">
      <c r="B1008" s="41"/>
      <c r="L1008" s="38"/>
    </row>
    <row r="1009" spans="2:12" s="19" customFormat="1" x14ac:dyDescent="0.35">
      <c r="B1009" s="41"/>
      <c r="L1009" s="38"/>
    </row>
    <row r="1010" spans="2:12" s="19" customFormat="1" x14ac:dyDescent="0.35">
      <c r="B1010" s="41"/>
      <c r="L1010" s="38"/>
    </row>
    <row r="1011" spans="2:12" s="19" customFormat="1" x14ac:dyDescent="0.35">
      <c r="B1011" s="41"/>
      <c r="L1011" s="38"/>
    </row>
    <row r="1012" spans="2:12" s="19" customFormat="1" x14ac:dyDescent="0.35">
      <c r="B1012" s="41"/>
      <c r="L1012" s="38"/>
    </row>
    <row r="1013" spans="2:12" s="19" customFormat="1" x14ac:dyDescent="0.35">
      <c r="B1013" s="41"/>
      <c r="L1013" s="38"/>
    </row>
    <row r="1014" spans="2:12" s="19" customFormat="1" x14ac:dyDescent="0.35">
      <c r="B1014" s="41"/>
      <c r="L1014" s="38"/>
    </row>
    <row r="1015" spans="2:12" s="19" customFormat="1" x14ac:dyDescent="0.35">
      <c r="B1015" s="41"/>
      <c r="L1015" s="38"/>
    </row>
    <row r="1016" spans="2:12" s="19" customFormat="1" x14ac:dyDescent="0.35">
      <c r="B1016" s="41"/>
      <c r="L1016" s="38"/>
    </row>
    <row r="1017" spans="2:12" s="19" customFormat="1" x14ac:dyDescent="0.35">
      <c r="B1017" s="41"/>
      <c r="L1017" s="38"/>
    </row>
    <row r="1018" spans="2:12" s="19" customFormat="1" x14ac:dyDescent="0.35">
      <c r="B1018" s="41"/>
      <c r="L1018" s="38"/>
    </row>
    <row r="1019" spans="2:12" s="19" customFormat="1" x14ac:dyDescent="0.35">
      <c r="B1019" s="41"/>
      <c r="L1019" s="38"/>
    </row>
    <row r="1020" spans="2:12" s="19" customFormat="1" x14ac:dyDescent="0.35">
      <c r="B1020" s="41"/>
      <c r="L1020" s="38"/>
    </row>
    <row r="1021" spans="2:12" s="19" customFormat="1" x14ac:dyDescent="0.35">
      <c r="B1021" s="41"/>
      <c r="L1021" s="38"/>
    </row>
    <row r="1022" spans="2:12" s="19" customFormat="1" x14ac:dyDescent="0.35">
      <c r="B1022" s="41"/>
      <c r="L1022" s="38"/>
    </row>
    <row r="1023" spans="2:12" s="19" customFormat="1" x14ac:dyDescent="0.35">
      <c r="B1023" s="41"/>
      <c r="L1023" s="38"/>
    </row>
    <row r="1024" spans="2:12" s="19" customFormat="1" x14ac:dyDescent="0.35">
      <c r="B1024" s="41"/>
      <c r="L1024" s="38"/>
    </row>
    <row r="1025" spans="2:12" s="19" customFormat="1" x14ac:dyDescent="0.35">
      <c r="B1025" s="41"/>
      <c r="L1025" s="38"/>
    </row>
    <row r="1026" spans="2:12" s="19" customFormat="1" x14ac:dyDescent="0.35">
      <c r="B1026" s="41"/>
      <c r="L1026" s="38"/>
    </row>
    <row r="1027" spans="2:12" s="19" customFormat="1" x14ac:dyDescent="0.35">
      <c r="B1027" s="41"/>
      <c r="L1027" s="38"/>
    </row>
    <row r="1028" spans="2:12" s="19" customFormat="1" x14ac:dyDescent="0.35">
      <c r="B1028" s="41"/>
      <c r="L1028" s="38"/>
    </row>
    <row r="1029" spans="2:12" s="19" customFormat="1" x14ac:dyDescent="0.35">
      <c r="B1029" s="41"/>
      <c r="L1029" s="38"/>
    </row>
    <row r="1030" spans="2:12" s="19" customFormat="1" x14ac:dyDescent="0.35">
      <c r="B1030" s="41"/>
      <c r="L1030" s="38"/>
    </row>
    <row r="1031" spans="2:12" s="19" customFormat="1" x14ac:dyDescent="0.35">
      <c r="B1031" s="41"/>
      <c r="L1031" s="38"/>
    </row>
    <row r="1032" spans="2:12" s="19" customFormat="1" x14ac:dyDescent="0.35">
      <c r="B1032" s="41"/>
      <c r="L1032" s="38"/>
    </row>
    <row r="1033" spans="2:12" s="19" customFormat="1" x14ac:dyDescent="0.35">
      <c r="B1033" s="41"/>
      <c r="L1033" s="38"/>
    </row>
    <row r="1034" spans="2:12" s="19" customFormat="1" x14ac:dyDescent="0.35">
      <c r="B1034" s="41"/>
      <c r="L1034" s="38"/>
    </row>
    <row r="1035" spans="2:12" s="19" customFormat="1" x14ac:dyDescent="0.35">
      <c r="B1035" s="41"/>
      <c r="L1035" s="38"/>
    </row>
    <row r="1036" spans="2:12" s="19" customFormat="1" x14ac:dyDescent="0.35">
      <c r="B1036" s="41"/>
      <c r="L1036" s="38"/>
    </row>
    <row r="1037" spans="2:12" s="19" customFormat="1" x14ac:dyDescent="0.35">
      <c r="B1037" s="41"/>
      <c r="L1037" s="38"/>
    </row>
    <row r="1038" spans="2:12" s="19" customFormat="1" x14ac:dyDescent="0.35">
      <c r="B1038" s="41"/>
      <c r="L1038" s="38"/>
    </row>
    <row r="1039" spans="2:12" s="19" customFormat="1" x14ac:dyDescent="0.35">
      <c r="B1039" s="41"/>
      <c r="L1039" s="38"/>
    </row>
    <row r="1040" spans="2:12" s="19" customFormat="1" x14ac:dyDescent="0.35">
      <c r="B1040" s="41"/>
      <c r="L1040" s="38"/>
    </row>
    <row r="1041" spans="2:12" s="19" customFormat="1" x14ac:dyDescent="0.35">
      <c r="B1041" s="41"/>
      <c r="L1041" s="38"/>
    </row>
    <row r="1042" spans="2:12" s="19" customFormat="1" x14ac:dyDescent="0.35">
      <c r="B1042" s="41"/>
      <c r="L1042" s="38"/>
    </row>
    <row r="1043" spans="2:12" s="19" customFormat="1" x14ac:dyDescent="0.35">
      <c r="B1043" s="41"/>
      <c r="L1043" s="38"/>
    </row>
    <row r="1044" spans="2:12" s="19" customFormat="1" x14ac:dyDescent="0.35">
      <c r="B1044" s="41"/>
      <c r="L1044" s="38"/>
    </row>
    <row r="1045" spans="2:12" s="19" customFormat="1" x14ac:dyDescent="0.35">
      <c r="B1045" s="41"/>
      <c r="L1045" s="38"/>
    </row>
    <row r="1046" spans="2:12" s="19" customFormat="1" x14ac:dyDescent="0.35">
      <c r="B1046" s="41"/>
      <c r="L1046" s="38"/>
    </row>
    <row r="1047" spans="2:12" s="19" customFormat="1" x14ac:dyDescent="0.35">
      <c r="B1047" s="41"/>
      <c r="L1047" s="38"/>
    </row>
    <row r="1048" spans="2:12" s="19" customFormat="1" x14ac:dyDescent="0.35">
      <c r="B1048" s="41"/>
      <c r="L1048" s="38"/>
    </row>
    <row r="1049" spans="2:12" s="19" customFormat="1" x14ac:dyDescent="0.35">
      <c r="B1049" s="41"/>
      <c r="L1049" s="38"/>
    </row>
    <row r="1050" spans="2:12" s="19" customFormat="1" x14ac:dyDescent="0.35">
      <c r="B1050" s="41"/>
      <c r="L1050" s="38"/>
    </row>
    <row r="1051" spans="2:12" s="19" customFormat="1" x14ac:dyDescent="0.35">
      <c r="B1051" s="41"/>
      <c r="L1051" s="38"/>
    </row>
    <row r="1052" spans="2:12" s="19" customFormat="1" x14ac:dyDescent="0.35">
      <c r="B1052" s="41"/>
      <c r="L1052" s="38"/>
    </row>
    <row r="1053" spans="2:12" s="19" customFormat="1" x14ac:dyDescent="0.35">
      <c r="B1053" s="41"/>
      <c r="L1053" s="38"/>
    </row>
    <row r="1054" spans="2:12" s="19" customFormat="1" x14ac:dyDescent="0.35">
      <c r="B1054" s="41"/>
      <c r="L1054" s="38"/>
    </row>
    <row r="1055" spans="2:12" s="19" customFormat="1" x14ac:dyDescent="0.35">
      <c r="B1055" s="41"/>
      <c r="L1055" s="38"/>
    </row>
    <row r="1056" spans="2:12" s="19" customFormat="1" x14ac:dyDescent="0.35">
      <c r="B1056" s="41"/>
      <c r="L1056" s="38"/>
    </row>
    <row r="1057" spans="2:12" s="19" customFormat="1" x14ac:dyDescent="0.35">
      <c r="B1057" s="41"/>
      <c r="L1057" s="38"/>
    </row>
    <row r="1058" spans="2:12" s="19" customFormat="1" x14ac:dyDescent="0.35">
      <c r="B1058" s="41"/>
      <c r="L1058" s="38"/>
    </row>
    <row r="1059" spans="2:12" s="19" customFormat="1" x14ac:dyDescent="0.35">
      <c r="B1059" s="41"/>
      <c r="L1059" s="38"/>
    </row>
    <row r="1060" spans="2:12" s="19" customFormat="1" x14ac:dyDescent="0.35">
      <c r="B1060" s="41"/>
      <c r="L1060" s="38"/>
    </row>
    <row r="1061" spans="2:12" s="19" customFormat="1" x14ac:dyDescent="0.35">
      <c r="B1061" s="41"/>
      <c r="L1061" s="38"/>
    </row>
    <row r="1062" spans="2:12" s="19" customFormat="1" x14ac:dyDescent="0.35">
      <c r="B1062" s="41"/>
      <c r="L1062" s="38"/>
    </row>
    <row r="1063" spans="2:12" s="19" customFormat="1" x14ac:dyDescent="0.35">
      <c r="B1063" s="41"/>
      <c r="L1063" s="38"/>
    </row>
    <row r="1064" spans="2:12" s="19" customFormat="1" x14ac:dyDescent="0.35">
      <c r="B1064" s="41"/>
      <c r="L1064" s="38"/>
    </row>
    <row r="1065" spans="2:12" s="19" customFormat="1" x14ac:dyDescent="0.35">
      <c r="B1065" s="41"/>
      <c r="L1065" s="38"/>
    </row>
    <row r="1066" spans="2:12" s="19" customFormat="1" x14ac:dyDescent="0.35">
      <c r="B1066" s="41"/>
      <c r="L1066" s="38"/>
    </row>
    <row r="1067" spans="2:12" s="19" customFormat="1" x14ac:dyDescent="0.35">
      <c r="B1067" s="41"/>
      <c r="L1067" s="38"/>
    </row>
    <row r="1068" spans="2:12" s="19" customFormat="1" x14ac:dyDescent="0.35">
      <c r="B1068" s="41"/>
      <c r="L1068" s="38"/>
    </row>
    <row r="1069" spans="2:12" s="19" customFormat="1" x14ac:dyDescent="0.35">
      <c r="B1069" s="41"/>
      <c r="L1069" s="38"/>
    </row>
    <row r="1070" spans="2:12" s="19" customFormat="1" x14ac:dyDescent="0.35">
      <c r="B1070" s="41"/>
      <c r="L1070" s="38"/>
    </row>
    <row r="1071" spans="2:12" s="19" customFormat="1" x14ac:dyDescent="0.35">
      <c r="B1071" s="41"/>
      <c r="L1071" s="38"/>
    </row>
    <row r="1072" spans="2:12" s="19" customFormat="1" x14ac:dyDescent="0.35">
      <c r="B1072" s="41"/>
      <c r="L1072" s="38"/>
    </row>
    <row r="1073" spans="2:12" s="19" customFormat="1" x14ac:dyDescent="0.35">
      <c r="B1073" s="41"/>
      <c r="L1073" s="38"/>
    </row>
    <row r="1074" spans="2:12" s="19" customFormat="1" x14ac:dyDescent="0.35">
      <c r="B1074" s="41"/>
      <c r="L1074" s="38"/>
    </row>
    <row r="1075" spans="2:12" s="19" customFormat="1" x14ac:dyDescent="0.35">
      <c r="B1075" s="41"/>
      <c r="L1075" s="38"/>
    </row>
    <row r="1076" spans="2:12" s="19" customFormat="1" x14ac:dyDescent="0.35">
      <c r="B1076" s="41"/>
      <c r="L1076" s="38"/>
    </row>
    <row r="1077" spans="2:12" s="19" customFormat="1" x14ac:dyDescent="0.35">
      <c r="B1077" s="41"/>
      <c r="L1077" s="38"/>
    </row>
    <row r="1078" spans="2:12" s="19" customFormat="1" x14ac:dyDescent="0.35">
      <c r="B1078" s="41"/>
      <c r="L1078" s="38"/>
    </row>
    <row r="1079" spans="2:12" s="19" customFormat="1" x14ac:dyDescent="0.35">
      <c r="B1079" s="41"/>
      <c r="L1079" s="38"/>
    </row>
    <row r="1080" spans="2:12" s="19" customFormat="1" x14ac:dyDescent="0.35">
      <c r="B1080" s="41"/>
      <c r="L1080" s="38"/>
    </row>
    <row r="1081" spans="2:12" s="19" customFormat="1" x14ac:dyDescent="0.35">
      <c r="B1081" s="41"/>
      <c r="L1081" s="38"/>
    </row>
    <row r="1082" spans="2:12" s="19" customFormat="1" x14ac:dyDescent="0.35">
      <c r="B1082" s="41"/>
      <c r="L1082" s="38"/>
    </row>
    <row r="1083" spans="2:12" s="19" customFormat="1" x14ac:dyDescent="0.35">
      <c r="B1083" s="41"/>
      <c r="L1083" s="38"/>
    </row>
    <row r="1084" spans="2:12" s="19" customFormat="1" x14ac:dyDescent="0.35">
      <c r="B1084" s="41"/>
      <c r="L1084" s="38"/>
    </row>
    <row r="1085" spans="2:12" s="19" customFormat="1" x14ac:dyDescent="0.35">
      <c r="B1085" s="41"/>
      <c r="L1085" s="38"/>
    </row>
    <row r="1086" spans="2:12" s="19" customFormat="1" x14ac:dyDescent="0.35">
      <c r="B1086" s="41"/>
      <c r="L1086" s="38"/>
    </row>
    <row r="1087" spans="2:12" s="19" customFormat="1" x14ac:dyDescent="0.35">
      <c r="B1087" s="41"/>
      <c r="L1087" s="38"/>
    </row>
    <row r="1088" spans="2:12" s="19" customFormat="1" x14ac:dyDescent="0.35">
      <c r="B1088" s="41"/>
      <c r="L1088" s="38"/>
    </row>
    <row r="1089" spans="2:12" s="19" customFormat="1" x14ac:dyDescent="0.35">
      <c r="B1089" s="41"/>
      <c r="L1089" s="38"/>
    </row>
    <row r="1090" spans="2:12" s="19" customFormat="1" x14ac:dyDescent="0.35">
      <c r="B1090" s="41"/>
      <c r="L1090" s="38"/>
    </row>
    <row r="1091" spans="2:12" s="19" customFormat="1" x14ac:dyDescent="0.35">
      <c r="B1091" s="41"/>
      <c r="L1091" s="38"/>
    </row>
    <row r="1092" spans="2:12" s="19" customFormat="1" x14ac:dyDescent="0.35">
      <c r="B1092" s="41"/>
      <c r="L1092" s="38"/>
    </row>
    <row r="1093" spans="2:12" s="19" customFormat="1" x14ac:dyDescent="0.35">
      <c r="B1093" s="41"/>
      <c r="L1093" s="38"/>
    </row>
    <row r="1094" spans="2:12" s="19" customFormat="1" x14ac:dyDescent="0.35">
      <c r="B1094" s="41"/>
      <c r="L1094" s="38"/>
    </row>
    <row r="1095" spans="2:12" s="19" customFormat="1" x14ac:dyDescent="0.35">
      <c r="B1095" s="41"/>
      <c r="L1095" s="38"/>
    </row>
    <row r="1096" spans="2:12" s="19" customFormat="1" x14ac:dyDescent="0.35">
      <c r="B1096" s="41"/>
      <c r="L1096" s="38"/>
    </row>
    <row r="1097" spans="2:12" s="19" customFormat="1" x14ac:dyDescent="0.35">
      <c r="B1097" s="41"/>
      <c r="L1097" s="38"/>
    </row>
    <row r="1098" spans="2:12" s="19" customFormat="1" x14ac:dyDescent="0.35">
      <c r="B1098" s="41"/>
      <c r="L1098" s="38"/>
    </row>
    <row r="1099" spans="2:12" s="19" customFormat="1" x14ac:dyDescent="0.35">
      <c r="B1099" s="41"/>
      <c r="L1099" s="38"/>
    </row>
    <row r="1100" spans="2:12" s="19" customFormat="1" x14ac:dyDescent="0.35">
      <c r="B1100" s="41"/>
      <c r="L1100" s="38"/>
    </row>
    <row r="1101" spans="2:12" s="19" customFormat="1" x14ac:dyDescent="0.35">
      <c r="B1101" s="41"/>
      <c r="L1101" s="38"/>
    </row>
    <row r="1102" spans="2:12" s="19" customFormat="1" x14ac:dyDescent="0.35">
      <c r="B1102" s="41"/>
      <c r="L1102" s="38"/>
    </row>
    <row r="1103" spans="2:12" s="19" customFormat="1" x14ac:dyDescent="0.35">
      <c r="B1103" s="41"/>
      <c r="L1103" s="38"/>
    </row>
    <row r="1104" spans="2:12" s="19" customFormat="1" x14ac:dyDescent="0.35">
      <c r="B1104" s="41"/>
      <c r="L1104" s="38"/>
    </row>
    <row r="1105" spans="2:12" s="19" customFormat="1" x14ac:dyDescent="0.35">
      <c r="B1105" s="41"/>
      <c r="L1105" s="38"/>
    </row>
    <row r="1106" spans="2:12" s="19" customFormat="1" x14ac:dyDescent="0.35">
      <c r="B1106" s="41"/>
      <c r="L1106" s="38"/>
    </row>
    <row r="1107" spans="2:12" s="19" customFormat="1" x14ac:dyDescent="0.35">
      <c r="B1107" s="41"/>
      <c r="L1107" s="38"/>
    </row>
    <row r="1108" spans="2:12" s="19" customFormat="1" x14ac:dyDescent="0.35">
      <c r="B1108" s="41"/>
      <c r="L1108" s="38"/>
    </row>
    <row r="1109" spans="2:12" s="19" customFormat="1" x14ac:dyDescent="0.35">
      <c r="B1109" s="41"/>
      <c r="L1109" s="38"/>
    </row>
    <row r="1110" spans="2:12" s="19" customFormat="1" x14ac:dyDescent="0.35">
      <c r="B1110" s="41"/>
      <c r="L1110" s="38"/>
    </row>
    <row r="1111" spans="2:12" s="19" customFormat="1" x14ac:dyDescent="0.35">
      <c r="B1111" s="41"/>
      <c r="L1111" s="38"/>
    </row>
    <row r="1112" spans="2:12" s="19" customFormat="1" x14ac:dyDescent="0.35">
      <c r="B1112" s="41"/>
      <c r="L1112" s="38"/>
    </row>
    <row r="1113" spans="2:12" s="19" customFormat="1" x14ac:dyDescent="0.35">
      <c r="B1113" s="41"/>
      <c r="L1113" s="38"/>
    </row>
    <row r="1114" spans="2:12" s="19" customFormat="1" x14ac:dyDescent="0.35">
      <c r="B1114" s="41"/>
      <c r="L1114" s="38"/>
    </row>
    <row r="1115" spans="2:12" s="19" customFormat="1" x14ac:dyDescent="0.35">
      <c r="B1115" s="41"/>
      <c r="L1115" s="38"/>
    </row>
    <row r="1116" spans="2:12" s="19" customFormat="1" x14ac:dyDescent="0.35">
      <c r="B1116" s="41"/>
      <c r="L1116" s="38"/>
    </row>
    <row r="1117" spans="2:12" s="19" customFormat="1" x14ac:dyDescent="0.35">
      <c r="B1117" s="41"/>
      <c r="L1117" s="38"/>
    </row>
    <row r="1118" spans="2:12" s="19" customFormat="1" x14ac:dyDescent="0.35">
      <c r="B1118" s="41"/>
      <c r="L1118" s="38"/>
    </row>
    <row r="1119" spans="2:12" s="19" customFormat="1" x14ac:dyDescent="0.35">
      <c r="B1119" s="41"/>
      <c r="L1119" s="38"/>
    </row>
    <row r="1120" spans="2:12" s="19" customFormat="1" x14ac:dyDescent="0.35">
      <c r="B1120" s="41"/>
      <c r="L1120" s="38"/>
    </row>
    <row r="1121" spans="2:12" s="19" customFormat="1" x14ac:dyDescent="0.35">
      <c r="B1121" s="41"/>
      <c r="L1121" s="38"/>
    </row>
    <row r="1122" spans="2:12" s="19" customFormat="1" x14ac:dyDescent="0.35">
      <c r="B1122" s="41"/>
      <c r="L1122" s="38"/>
    </row>
    <row r="1123" spans="2:12" s="19" customFormat="1" x14ac:dyDescent="0.35">
      <c r="B1123" s="41"/>
      <c r="L1123" s="38"/>
    </row>
    <row r="1124" spans="2:12" s="19" customFormat="1" x14ac:dyDescent="0.35">
      <c r="B1124" s="41"/>
      <c r="L1124" s="38"/>
    </row>
    <row r="1125" spans="2:12" s="19" customFormat="1" x14ac:dyDescent="0.35">
      <c r="B1125" s="41"/>
      <c r="L1125" s="38"/>
    </row>
    <row r="1126" spans="2:12" s="19" customFormat="1" x14ac:dyDescent="0.35">
      <c r="B1126" s="41"/>
      <c r="L1126" s="38"/>
    </row>
    <row r="1127" spans="2:12" s="19" customFormat="1" x14ac:dyDescent="0.35">
      <c r="B1127" s="41"/>
      <c r="L1127" s="38"/>
    </row>
    <row r="1128" spans="2:12" s="19" customFormat="1" x14ac:dyDescent="0.35">
      <c r="B1128" s="41"/>
      <c r="L1128" s="38"/>
    </row>
    <row r="1129" spans="2:12" s="19" customFormat="1" x14ac:dyDescent="0.35">
      <c r="B1129" s="41"/>
      <c r="L1129" s="38"/>
    </row>
    <row r="1130" spans="2:12" s="19" customFormat="1" x14ac:dyDescent="0.35">
      <c r="B1130" s="41"/>
      <c r="L1130" s="38"/>
    </row>
    <row r="1131" spans="2:12" s="19" customFormat="1" x14ac:dyDescent="0.35">
      <c r="B1131" s="41"/>
      <c r="L1131" s="38"/>
    </row>
    <row r="1132" spans="2:12" s="19" customFormat="1" x14ac:dyDescent="0.35">
      <c r="B1132" s="41"/>
      <c r="L1132" s="38"/>
    </row>
    <row r="1133" spans="2:12" s="19" customFormat="1" x14ac:dyDescent="0.35">
      <c r="B1133" s="41"/>
      <c r="L1133" s="38"/>
    </row>
    <row r="1134" spans="2:12" s="19" customFormat="1" x14ac:dyDescent="0.35">
      <c r="B1134" s="41"/>
      <c r="L1134" s="38"/>
    </row>
    <row r="1135" spans="2:12" s="19" customFormat="1" x14ac:dyDescent="0.35">
      <c r="B1135" s="41"/>
      <c r="L1135" s="38"/>
    </row>
    <row r="1136" spans="2:12" s="19" customFormat="1" x14ac:dyDescent="0.35">
      <c r="B1136" s="41"/>
      <c r="L1136" s="38"/>
    </row>
    <row r="1137" spans="2:12" s="19" customFormat="1" x14ac:dyDescent="0.35">
      <c r="B1137" s="41"/>
      <c r="L1137" s="38"/>
    </row>
    <row r="1138" spans="2:12" s="19" customFormat="1" x14ac:dyDescent="0.35">
      <c r="B1138" s="41"/>
      <c r="L1138" s="38"/>
    </row>
    <row r="1139" spans="2:12" s="19" customFormat="1" x14ac:dyDescent="0.35">
      <c r="B1139" s="41"/>
      <c r="L1139" s="38"/>
    </row>
    <row r="1140" spans="2:12" s="19" customFormat="1" x14ac:dyDescent="0.35">
      <c r="B1140" s="41"/>
      <c r="L1140" s="38"/>
    </row>
    <row r="1141" spans="2:12" s="19" customFormat="1" x14ac:dyDescent="0.35">
      <c r="B1141" s="41"/>
      <c r="L1141" s="38"/>
    </row>
    <row r="1142" spans="2:12" s="19" customFormat="1" x14ac:dyDescent="0.35">
      <c r="B1142" s="41"/>
      <c r="L1142" s="38"/>
    </row>
    <row r="1143" spans="2:12" s="19" customFormat="1" x14ac:dyDescent="0.35">
      <c r="B1143" s="41"/>
      <c r="L1143" s="38"/>
    </row>
    <row r="1144" spans="2:12" s="19" customFormat="1" x14ac:dyDescent="0.35">
      <c r="B1144" s="41"/>
      <c r="L1144" s="38"/>
    </row>
    <row r="1145" spans="2:12" s="19" customFormat="1" x14ac:dyDescent="0.35">
      <c r="B1145" s="41"/>
      <c r="L1145" s="38"/>
    </row>
    <row r="1146" spans="2:12" s="19" customFormat="1" x14ac:dyDescent="0.35">
      <c r="B1146" s="41"/>
      <c r="L1146" s="38"/>
    </row>
    <row r="1147" spans="2:12" s="19" customFormat="1" x14ac:dyDescent="0.35">
      <c r="B1147" s="41"/>
      <c r="L1147" s="38"/>
    </row>
    <row r="1148" spans="2:12" s="19" customFormat="1" x14ac:dyDescent="0.35">
      <c r="B1148" s="41"/>
      <c r="L1148" s="38"/>
    </row>
    <row r="1149" spans="2:12" s="19" customFormat="1" x14ac:dyDescent="0.35">
      <c r="B1149" s="41"/>
      <c r="L1149" s="38"/>
    </row>
    <row r="1150" spans="2:12" s="19" customFormat="1" x14ac:dyDescent="0.35">
      <c r="B1150" s="41"/>
      <c r="L1150" s="38"/>
    </row>
    <row r="1151" spans="2:12" s="19" customFormat="1" x14ac:dyDescent="0.35">
      <c r="B1151" s="41"/>
      <c r="L1151" s="38"/>
    </row>
    <row r="1152" spans="2:12" s="19" customFormat="1" x14ac:dyDescent="0.35">
      <c r="B1152" s="41"/>
      <c r="L1152" s="38"/>
    </row>
    <row r="1153" spans="2:12" s="19" customFormat="1" x14ac:dyDescent="0.35">
      <c r="B1153" s="41"/>
      <c r="L1153" s="38"/>
    </row>
    <row r="1154" spans="2:12" s="19" customFormat="1" x14ac:dyDescent="0.35">
      <c r="B1154" s="41"/>
      <c r="L1154" s="38"/>
    </row>
    <row r="1155" spans="2:12" s="19" customFormat="1" x14ac:dyDescent="0.35">
      <c r="B1155" s="41"/>
      <c r="L1155" s="38"/>
    </row>
    <row r="1156" spans="2:12" s="19" customFormat="1" x14ac:dyDescent="0.35">
      <c r="B1156" s="41"/>
      <c r="L1156" s="38"/>
    </row>
    <row r="1157" spans="2:12" s="19" customFormat="1" x14ac:dyDescent="0.35">
      <c r="B1157" s="41"/>
      <c r="L1157" s="38"/>
    </row>
    <row r="1158" spans="2:12" s="19" customFormat="1" x14ac:dyDescent="0.35">
      <c r="B1158" s="41"/>
      <c r="L1158" s="38"/>
    </row>
    <row r="1159" spans="2:12" s="19" customFormat="1" x14ac:dyDescent="0.35">
      <c r="B1159" s="41"/>
      <c r="L1159" s="38"/>
    </row>
    <row r="1160" spans="2:12" s="19" customFormat="1" x14ac:dyDescent="0.35">
      <c r="B1160" s="41"/>
      <c r="L1160" s="38"/>
    </row>
    <row r="1161" spans="2:12" s="19" customFormat="1" x14ac:dyDescent="0.35">
      <c r="B1161" s="41"/>
      <c r="L1161" s="38"/>
    </row>
    <row r="1162" spans="2:12" s="19" customFormat="1" x14ac:dyDescent="0.35">
      <c r="B1162" s="41"/>
      <c r="L1162" s="38"/>
    </row>
    <row r="1163" spans="2:12" s="19" customFormat="1" x14ac:dyDescent="0.35">
      <c r="B1163" s="41"/>
      <c r="L1163" s="38"/>
    </row>
    <row r="1164" spans="2:12" s="19" customFormat="1" x14ac:dyDescent="0.35">
      <c r="B1164" s="41"/>
      <c r="L1164" s="38"/>
    </row>
    <row r="1165" spans="2:12" s="19" customFormat="1" x14ac:dyDescent="0.35">
      <c r="B1165" s="41"/>
      <c r="L1165" s="38"/>
    </row>
    <row r="1166" spans="2:12" s="19" customFormat="1" x14ac:dyDescent="0.35">
      <c r="B1166" s="41"/>
      <c r="L1166" s="38"/>
    </row>
    <row r="1167" spans="2:12" s="19" customFormat="1" x14ac:dyDescent="0.35">
      <c r="B1167" s="41"/>
      <c r="L1167" s="38"/>
    </row>
    <row r="1168" spans="2:12" s="19" customFormat="1" x14ac:dyDescent="0.35">
      <c r="B1168" s="41"/>
      <c r="L1168" s="38"/>
    </row>
    <row r="1169" spans="2:12" s="19" customFormat="1" x14ac:dyDescent="0.35">
      <c r="B1169" s="41"/>
      <c r="L1169" s="38"/>
    </row>
    <row r="1170" spans="2:12" s="19" customFormat="1" x14ac:dyDescent="0.35">
      <c r="B1170" s="41"/>
      <c r="L1170" s="38"/>
    </row>
    <row r="1171" spans="2:12" s="19" customFormat="1" x14ac:dyDescent="0.35">
      <c r="B1171" s="41"/>
      <c r="L1171" s="38"/>
    </row>
    <row r="1172" spans="2:12" s="19" customFormat="1" x14ac:dyDescent="0.35">
      <c r="B1172" s="41"/>
      <c r="L1172" s="38"/>
    </row>
    <row r="1173" spans="2:12" s="19" customFormat="1" x14ac:dyDescent="0.35">
      <c r="B1173" s="41"/>
      <c r="L1173" s="38"/>
    </row>
    <row r="1174" spans="2:12" s="19" customFormat="1" x14ac:dyDescent="0.35">
      <c r="B1174" s="41"/>
      <c r="L1174" s="38"/>
    </row>
    <row r="1175" spans="2:12" s="19" customFormat="1" x14ac:dyDescent="0.35">
      <c r="B1175" s="41"/>
      <c r="L1175" s="38"/>
    </row>
    <row r="1176" spans="2:12" s="19" customFormat="1" x14ac:dyDescent="0.35">
      <c r="B1176" s="41"/>
      <c r="L1176" s="38"/>
    </row>
    <row r="1177" spans="2:12" s="19" customFormat="1" x14ac:dyDescent="0.35">
      <c r="B1177" s="41"/>
      <c r="L1177" s="38"/>
    </row>
    <row r="1178" spans="2:12" s="19" customFormat="1" x14ac:dyDescent="0.35">
      <c r="B1178" s="41"/>
      <c r="L1178" s="38"/>
    </row>
    <row r="1179" spans="2:12" s="19" customFormat="1" x14ac:dyDescent="0.35">
      <c r="B1179" s="41"/>
      <c r="L1179" s="38"/>
    </row>
    <row r="1180" spans="2:12" s="19" customFormat="1" x14ac:dyDescent="0.35">
      <c r="B1180" s="41"/>
      <c r="L1180" s="38"/>
    </row>
    <row r="1181" spans="2:12" s="19" customFormat="1" x14ac:dyDescent="0.35">
      <c r="B1181" s="41"/>
      <c r="L1181" s="38"/>
    </row>
    <row r="1182" spans="2:12" s="19" customFormat="1" x14ac:dyDescent="0.35">
      <c r="B1182" s="41"/>
      <c r="L1182" s="38"/>
    </row>
    <row r="1183" spans="2:12" s="19" customFormat="1" x14ac:dyDescent="0.35">
      <c r="B1183" s="41"/>
      <c r="L1183" s="38"/>
    </row>
    <row r="1184" spans="2:12" s="19" customFormat="1" x14ac:dyDescent="0.35">
      <c r="B1184" s="41"/>
      <c r="L1184" s="38"/>
    </row>
    <row r="1185" spans="2:12" s="19" customFormat="1" x14ac:dyDescent="0.35">
      <c r="B1185" s="41"/>
      <c r="L1185" s="38"/>
    </row>
    <row r="1186" spans="2:12" s="19" customFormat="1" x14ac:dyDescent="0.35">
      <c r="B1186" s="41"/>
      <c r="L1186" s="38"/>
    </row>
    <row r="1187" spans="2:12" s="19" customFormat="1" x14ac:dyDescent="0.35">
      <c r="B1187" s="41"/>
      <c r="L1187" s="38"/>
    </row>
    <row r="1188" spans="2:12" s="19" customFormat="1" x14ac:dyDescent="0.35">
      <c r="B1188" s="41"/>
      <c r="L1188" s="38"/>
    </row>
    <row r="1189" spans="2:12" s="19" customFormat="1" x14ac:dyDescent="0.35">
      <c r="B1189" s="41"/>
      <c r="L1189" s="38"/>
    </row>
    <row r="1190" spans="2:12" s="19" customFormat="1" x14ac:dyDescent="0.35">
      <c r="B1190" s="41"/>
      <c r="L1190" s="38"/>
    </row>
    <row r="1191" spans="2:12" s="19" customFormat="1" x14ac:dyDescent="0.35">
      <c r="B1191" s="41"/>
      <c r="L1191" s="38"/>
    </row>
    <row r="1192" spans="2:12" s="19" customFormat="1" x14ac:dyDescent="0.35">
      <c r="B1192" s="41"/>
      <c r="L1192" s="38"/>
    </row>
    <row r="1193" spans="2:12" s="19" customFormat="1" x14ac:dyDescent="0.35">
      <c r="B1193" s="41"/>
      <c r="L1193" s="38"/>
    </row>
    <row r="1194" spans="2:12" s="19" customFormat="1" x14ac:dyDescent="0.35">
      <c r="B1194" s="41"/>
      <c r="L1194" s="38"/>
    </row>
    <row r="1195" spans="2:12" s="19" customFormat="1" x14ac:dyDescent="0.35">
      <c r="B1195" s="41"/>
      <c r="L1195" s="38"/>
    </row>
    <row r="1196" spans="2:12" s="19" customFormat="1" x14ac:dyDescent="0.35">
      <c r="B1196" s="41"/>
      <c r="L1196" s="38"/>
    </row>
    <row r="1197" spans="2:12" s="19" customFormat="1" x14ac:dyDescent="0.35">
      <c r="B1197" s="41"/>
      <c r="L1197" s="38"/>
    </row>
    <row r="1198" spans="2:12" s="19" customFormat="1" x14ac:dyDescent="0.35">
      <c r="B1198" s="41"/>
      <c r="L1198" s="38"/>
    </row>
    <row r="1199" spans="2:12" s="19" customFormat="1" x14ac:dyDescent="0.35">
      <c r="B1199" s="41"/>
      <c r="L1199" s="38"/>
    </row>
    <row r="1200" spans="2:12" s="19" customFormat="1" x14ac:dyDescent="0.35">
      <c r="B1200" s="41"/>
      <c r="L1200" s="38"/>
    </row>
    <row r="1201" spans="2:12" s="19" customFormat="1" x14ac:dyDescent="0.35">
      <c r="B1201" s="41"/>
      <c r="L1201" s="38"/>
    </row>
    <row r="1202" spans="2:12" s="19" customFormat="1" x14ac:dyDescent="0.35">
      <c r="B1202" s="41"/>
      <c r="L1202" s="38"/>
    </row>
    <row r="1203" spans="2:12" s="19" customFormat="1" x14ac:dyDescent="0.35">
      <c r="B1203" s="41"/>
      <c r="L1203" s="38"/>
    </row>
    <row r="1204" spans="2:12" s="19" customFormat="1" x14ac:dyDescent="0.35">
      <c r="B1204" s="41"/>
      <c r="L1204" s="38"/>
    </row>
    <row r="1205" spans="2:12" s="19" customFormat="1" x14ac:dyDescent="0.35">
      <c r="B1205" s="41"/>
      <c r="L1205" s="38"/>
    </row>
    <row r="1206" spans="2:12" s="19" customFormat="1" x14ac:dyDescent="0.35">
      <c r="B1206" s="41"/>
      <c r="L1206" s="38"/>
    </row>
    <row r="1207" spans="2:12" s="19" customFormat="1" x14ac:dyDescent="0.35">
      <c r="B1207" s="41"/>
      <c r="L1207" s="38"/>
    </row>
    <row r="1208" spans="2:12" s="19" customFormat="1" x14ac:dyDescent="0.35">
      <c r="B1208" s="41"/>
      <c r="L1208" s="38"/>
    </row>
    <row r="1209" spans="2:12" s="19" customFormat="1" x14ac:dyDescent="0.35">
      <c r="B1209" s="41"/>
      <c r="L1209" s="38"/>
    </row>
    <row r="1210" spans="2:12" s="19" customFormat="1" x14ac:dyDescent="0.35">
      <c r="B1210" s="41"/>
      <c r="L1210" s="38"/>
    </row>
    <row r="1211" spans="2:12" s="19" customFormat="1" x14ac:dyDescent="0.35">
      <c r="B1211" s="41"/>
      <c r="L1211" s="38"/>
    </row>
    <row r="1212" spans="2:12" s="19" customFormat="1" x14ac:dyDescent="0.35">
      <c r="B1212" s="41"/>
      <c r="L1212" s="38"/>
    </row>
    <row r="1213" spans="2:12" s="19" customFormat="1" x14ac:dyDescent="0.35">
      <c r="B1213" s="41"/>
      <c r="L1213" s="38"/>
    </row>
    <row r="1214" spans="2:12" s="19" customFormat="1" x14ac:dyDescent="0.35">
      <c r="B1214" s="41"/>
      <c r="L1214" s="38"/>
    </row>
    <row r="1215" spans="2:12" s="19" customFormat="1" x14ac:dyDescent="0.35">
      <c r="B1215" s="41"/>
      <c r="L1215" s="38"/>
    </row>
    <row r="1216" spans="2:12" s="19" customFormat="1" x14ac:dyDescent="0.35">
      <c r="B1216" s="41"/>
      <c r="L1216" s="38"/>
    </row>
    <row r="1217" spans="2:12" s="19" customFormat="1" x14ac:dyDescent="0.35">
      <c r="B1217" s="41"/>
      <c r="L1217" s="38"/>
    </row>
    <row r="1218" spans="2:12" s="19" customFormat="1" x14ac:dyDescent="0.35">
      <c r="B1218" s="41"/>
      <c r="L1218" s="38"/>
    </row>
    <row r="1219" spans="2:12" s="19" customFormat="1" x14ac:dyDescent="0.35">
      <c r="B1219" s="41"/>
      <c r="L1219" s="38"/>
    </row>
    <row r="1220" spans="2:12" s="19" customFormat="1" x14ac:dyDescent="0.35">
      <c r="B1220" s="41"/>
      <c r="L1220" s="38"/>
    </row>
    <row r="1221" spans="2:12" s="19" customFormat="1" x14ac:dyDescent="0.35">
      <c r="B1221" s="41"/>
      <c r="L1221" s="38"/>
    </row>
    <row r="1222" spans="2:12" s="19" customFormat="1" x14ac:dyDescent="0.35">
      <c r="B1222" s="41"/>
      <c r="L1222" s="38"/>
    </row>
    <row r="1223" spans="2:12" s="19" customFormat="1" x14ac:dyDescent="0.35">
      <c r="B1223" s="41"/>
      <c r="L1223" s="38"/>
    </row>
    <row r="1224" spans="2:12" s="19" customFormat="1" x14ac:dyDescent="0.35">
      <c r="B1224" s="41"/>
      <c r="L1224" s="38"/>
    </row>
    <row r="1225" spans="2:12" s="19" customFormat="1" x14ac:dyDescent="0.35">
      <c r="B1225" s="41"/>
      <c r="L1225" s="38"/>
    </row>
    <row r="1226" spans="2:12" s="19" customFormat="1" x14ac:dyDescent="0.35">
      <c r="B1226" s="41"/>
      <c r="L1226" s="38"/>
    </row>
    <row r="1227" spans="2:12" s="19" customFormat="1" x14ac:dyDescent="0.35">
      <c r="B1227" s="41"/>
      <c r="L1227" s="38"/>
    </row>
    <row r="1228" spans="2:12" s="19" customFormat="1" x14ac:dyDescent="0.35">
      <c r="B1228" s="41"/>
      <c r="L1228" s="38"/>
    </row>
    <row r="1229" spans="2:12" s="19" customFormat="1" x14ac:dyDescent="0.35">
      <c r="B1229" s="41"/>
      <c r="L1229" s="38"/>
    </row>
    <row r="1230" spans="2:12" s="19" customFormat="1" x14ac:dyDescent="0.35">
      <c r="B1230" s="41"/>
      <c r="L1230" s="38"/>
    </row>
    <row r="1231" spans="2:12" s="19" customFormat="1" x14ac:dyDescent="0.35">
      <c r="B1231" s="41"/>
      <c r="L1231" s="38"/>
    </row>
    <row r="1232" spans="2:12" s="19" customFormat="1" x14ac:dyDescent="0.35">
      <c r="B1232" s="41"/>
      <c r="L1232" s="38"/>
    </row>
    <row r="1233" spans="2:12" s="19" customFormat="1" x14ac:dyDescent="0.35">
      <c r="B1233" s="41"/>
      <c r="L1233" s="38"/>
    </row>
    <row r="1234" spans="2:12" s="19" customFormat="1" x14ac:dyDescent="0.35">
      <c r="B1234" s="41"/>
      <c r="L1234" s="38"/>
    </row>
    <row r="1235" spans="2:12" s="19" customFormat="1" x14ac:dyDescent="0.35">
      <c r="B1235" s="41"/>
      <c r="L1235" s="38"/>
    </row>
    <row r="1236" spans="2:12" s="19" customFormat="1" x14ac:dyDescent="0.35">
      <c r="B1236" s="41"/>
      <c r="L1236" s="38"/>
    </row>
    <row r="1237" spans="2:12" s="19" customFormat="1" x14ac:dyDescent="0.35">
      <c r="B1237" s="41"/>
      <c r="L1237" s="38"/>
    </row>
    <row r="1238" spans="2:12" s="19" customFormat="1" x14ac:dyDescent="0.35">
      <c r="B1238" s="41"/>
      <c r="L1238" s="38"/>
    </row>
    <row r="1239" spans="2:12" s="19" customFormat="1" x14ac:dyDescent="0.35">
      <c r="B1239" s="41"/>
      <c r="L1239" s="38"/>
    </row>
    <row r="1240" spans="2:12" s="19" customFormat="1" x14ac:dyDescent="0.35">
      <c r="B1240" s="41"/>
      <c r="L1240" s="38"/>
    </row>
    <row r="1241" spans="2:12" s="19" customFormat="1" x14ac:dyDescent="0.35">
      <c r="B1241" s="41"/>
      <c r="L1241" s="38"/>
    </row>
    <row r="1242" spans="2:12" s="19" customFormat="1" x14ac:dyDescent="0.35">
      <c r="B1242" s="41"/>
      <c r="L1242" s="38"/>
    </row>
    <row r="1243" spans="2:12" s="19" customFormat="1" x14ac:dyDescent="0.35">
      <c r="B1243" s="41"/>
      <c r="L1243" s="38"/>
    </row>
    <row r="1244" spans="2:12" s="19" customFormat="1" x14ac:dyDescent="0.35">
      <c r="B1244" s="41"/>
      <c r="L1244" s="38"/>
    </row>
    <row r="1245" spans="2:12" s="19" customFormat="1" x14ac:dyDescent="0.35">
      <c r="B1245" s="41"/>
      <c r="L1245" s="38"/>
    </row>
    <row r="1246" spans="2:12" s="19" customFormat="1" x14ac:dyDescent="0.35">
      <c r="B1246" s="41"/>
      <c r="L1246" s="38"/>
    </row>
    <row r="1247" spans="2:12" s="19" customFormat="1" x14ac:dyDescent="0.35">
      <c r="B1247" s="41"/>
      <c r="L1247" s="38"/>
    </row>
    <row r="1248" spans="2:12" s="19" customFormat="1" x14ac:dyDescent="0.35">
      <c r="B1248" s="41"/>
      <c r="L1248" s="38"/>
    </row>
    <row r="1249" spans="2:12" s="19" customFormat="1" x14ac:dyDescent="0.35">
      <c r="B1249" s="41"/>
      <c r="L1249" s="38"/>
    </row>
    <row r="1250" spans="2:12" s="19" customFormat="1" x14ac:dyDescent="0.35">
      <c r="B1250" s="41"/>
      <c r="L1250" s="38"/>
    </row>
    <row r="1251" spans="2:12" s="19" customFormat="1" x14ac:dyDescent="0.35">
      <c r="B1251" s="41"/>
      <c r="L1251" s="38"/>
    </row>
    <row r="1252" spans="2:12" s="19" customFormat="1" x14ac:dyDescent="0.35">
      <c r="B1252" s="41"/>
      <c r="L1252" s="38"/>
    </row>
    <row r="1253" spans="2:12" s="19" customFormat="1" x14ac:dyDescent="0.35">
      <c r="B1253" s="41"/>
      <c r="L1253" s="38"/>
    </row>
    <row r="1254" spans="2:12" s="19" customFormat="1" x14ac:dyDescent="0.35">
      <c r="B1254" s="41"/>
      <c r="L1254" s="38"/>
    </row>
    <row r="1255" spans="2:12" s="19" customFormat="1" x14ac:dyDescent="0.35">
      <c r="B1255" s="41"/>
      <c r="L1255" s="38"/>
    </row>
    <row r="1256" spans="2:12" s="19" customFormat="1" x14ac:dyDescent="0.35">
      <c r="B1256" s="41"/>
      <c r="L1256" s="38"/>
    </row>
    <row r="1257" spans="2:12" s="19" customFormat="1" x14ac:dyDescent="0.35">
      <c r="B1257" s="41"/>
      <c r="L1257" s="38"/>
    </row>
    <row r="1258" spans="2:12" s="19" customFormat="1" x14ac:dyDescent="0.35">
      <c r="B1258" s="41"/>
      <c r="L1258" s="38"/>
    </row>
    <row r="1259" spans="2:12" s="19" customFormat="1" x14ac:dyDescent="0.35">
      <c r="B1259" s="41"/>
      <c r="L1259" s="38"/>
    </row>
    <row r="1260" spans="2:12" s="19" customFormat="1" x14ac:dyDescent="0.35">
      <c r="B1260" s="41"/>
      <c r="L1260" s="38"/>
    </row>
    <row r="1261" spans="2:12" s="19" customFormat="1" x14ac:dyDescent="0.35">
      <c r="B1261" s="41"/>
      <c r="L1261" s="38"/>
    </row>
    <row r="1262" spans="2:12" s="19" customFormat="1" x14ac:dyDescent="0.35">
      <c r="B1262" s="41"/>
      <c r="L1262" s="38"/>
    </row>
    <row r="1263" spans="2:12" s="19" customFormat="1" x14ac:dyDescent="0.35">
      <c r="B1263" s="41"/>
      <c r="L1263" s="38"/>
    </row>
    <row r="1264" spans="2:12" s="19" customFormat="1" x14ac:dyDescent="0.35">
      <c r="B1264" s="41"/>
      <c r="L1264" s="38"/>
    </row>
    <row r="1265" spans="2:12" s="19" customFormat="1" x14ac:dyDescent="0.35">
      <c r="B1265" s="41"/>
      <c r="L1265" s="38"/>
    </row>
    <row r="1266" spans="2:12" s="19" customFormat="1" x14ac:dyDescent="0.35">
      <c r="B1266" s="41"/>
      <c r="L1266" s="38"/>
    </row>
    <row r="1267" spans="2:12" s="19" customFormat="1" x14ac:dyDescent="0.35">
      <c r="B1267" s="41"/>
      <c r="L1267" s="38"/>
    </row>
    <row r="1268" spans="2:12" s="19" customFormat="1" x14ac:dyDescent="0.35">
      <c r="B1268" s="41"/>
      <c r="L1268" s="38"/>
    </row>
    <row r="1269" spans="2:12" s="19" customFormat="1" x14ac:dyDescent="0.35">
      <c r="B1269" s="41"/>
      <c r="L1269" s="38"/>
    </row>
    <row r="1270" spans="2:12" s="19" customFormat="1" x14ac:dyDescent="0.35">
      <c r="B1270" s="41"/>
      <c r="L1270" s="38"/>
    </row>
    <row r="1271" spans="2:12" s="19" customFormat="1" x14ac:dyDescent="0.35">
      <c r="B1271" s="41"/>
      <c r="L1271" s="38"/>
    </row>
    <row r="1272" spans="2:12" s="19" customFormat="1" x14ac:dyDescent="0.35">
      <c r="B1272" s="41"/>
      <c r="L1272" s="38"/>
    </row>
    <row r="1273" spans="2:12" s="19" customFormat="1" x14ac:dyDescent="0.35">
      <c r="B1273" s="41"/>
      <c r="L1273" s="38"/>
    </row>
    <row r="1274" spans="2:12" s="19" customFormat="1" x14ac:dyDescent="0.35">
      <c r="B1274" s="41"/>
      <c r="L1274" s="38"/>
    </row>
    <row r="1275" spans="2:12" s="19" customFormat="1" x14ac:dyDescent="0.35">
      <c r="B1275" s="41"/>
      <c r="L1275" s="38"/>
    </row>
    <row r="1276" spans="2:12" s="19" customFormat="1" x14ac:dyDescent="0.35">
      <c r="B1276" s="41"/>
      <c r="L1276" s="38"/>
    </row>
    <row r="1277" spans="2:12" s="19" customFormat="1" x14ac:dyDescent="0.35">
      <c r="B1277" s="41"/>
      <c r="L1277" s="38"/>
    </row>
    <row r="1278" spans="2:12" s="19" customFormat="1" x14ac:dyDescent="0.35">
      <c r="B1278" s="41"/>
      <c r="L1278" s="38"/>
    </row>
    <row r="1279" spans="2:12" s="19" customFormat="1" x14ac:dyDescent="0.35">
      <c r="B1279" s="41"/>
      <c r="L1279" s="38"/>
    </row>
    <row r="1280" spans="2:12" s="19" customFormat="1" x14ac:dyDescent="0.35">
      <c r="B1280" s="41"/>
      <c r="L1280" s="38"/>
    </row>
    <row r="1281" spans="2:12" s="19" customFormat="1" x14ac:dyDescent="0.35">
      <c r="B1281" s="41"/>
      <c r="L1281" s="38"/>
    </row>
    <row r="1282" spans="2:12" s="19" customFormat="1" x14ac:dyDescent="0.35">
      <c r="B1282" s="41"/>
      <c r="L1282" s="38"/>
    </row>
    <row r="1283" spans="2:12" s="19" customFormat="1" x14ac:dyDescent="0.35">
      <c r="B1283" s="41"/>
      <c r="L1283" s="38"/>
    </row>
    <row r="1284" spans="2:12" s="19" customFormat="1" x14ac:dyDescent="0.35">
      <c r="B1284" s="41"/>
      <c r="L1284" s="38"/>
    </row>
    <row r="1285" spans="2:12" s="19" customFormat="1" x14ac:dyDescent="0.35">
      <c r="B1285" s="41"/>
      <c r="L1285" s="38"/>
    </row>
    <row r="1286" spans="2:12" s="19" customFormat="1" x14ac:dyDescent="0.35">
      <c r="B1286" s="41"/>
      <c r="L1286" s="38"/>
    </row>
    <row r="1287" spans="2:12" s="19" customFormat="1" x14ac:dyDescent="0.35">
      <c r="B1287" s="41"/>
      <c r="L1287" s="38"/>
    </row>
    <row r="1288" spans="2:12" s="19" customFormat="1" x14ac:dyDescent="0.35">
      <c r="B1288" s="41"/>
      <c r="L1288" s="38"/>
    </row>
    <row r="1289" spans="2:12" s="19" customFormat="1" x14ac:dyDescent="0.35">
      <c r="B1289" s="41"/>
      <c r="L1289" s="38"/>
    </row>
    <row r="1290" spans="2:12" s="19" customFormat="1" x14ac:dyDescent="0.35">
      <c r="B1290" s="41"/>
      <c r="L1290" s="38"/>
    </row>
    <row r="1291" spans="2:12" s="19" customFormat="1" x14ac:dyDescent="0.35">
      <c r="B1291" s="41"/>
      <c r="L1291" s="38"/>
    </row>
    <row r="1292" spans="2:12" s="19" customFormat="1" x14ac:dyDescent="0.35">
      <c r="B1292" s="41"/>
      <c r="L1292" s="38"/>
    </row>
  </sheetData>
  <mergeCells count="12">
    <mergeCell ref="H6:K6"/>
    <mergeCell ref="H18:K18"/>
    <mergeCell ref="C2:K2"/>
    <mergeCell ref="C5:F5"/>
    <mergeCell ref="H5:K5"/>
    <mergeCell ref="B3:L3"/>
    <mergeCell ref="H27:K27"/>
    <mergeCell ref="C37:F37"/>
    <mergeCell ref="H37:K37"/>
    <mergeCell ref="C62:K62"/>
    <mergeCell ref="E60:F61"/>
    <mergeCell ref="C23:F28"/>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02EA-EF60-4FA1-A323-CED1B3646D99}">
  <dimension ref="A1:J127"/>
  <sheetViews>
    <sheetView workbookViewId="0">
      <selection activeCell="A2" sqref="A2"/>
    </sheetView>
  </sheetViews>
  <sheetFormatPr defaultRowHeight="14.5" x14ac:dyDescent="0.35"/>
  <cols>
    <col min="1" max="1" width="49.81640625" customWidth="1"/>
    <col min="2" max="2" width="26.453125" customWidth="1"/>
    <col min="3" max="3" width="19.90625" customWidth="1"/>
    <col min="4" max="4" width="13.26953125" customWidth="1"/>
    <col min="6" max="6" width="26.6328125" customWidth="1"/>
    <col min="7" max="7" width="22" customWidth="1"/>
    <col min="9" max="9" width="24.6328125" customWidth="1"/>
    <col min="10" max="10" width="15.453125" customWidth="1"/>
    <col min="11" max="11" width="26.90625" customWidth="1"/>
    <col min="12" max="12" width="22.26953125" customWidth="1"/>
  </cols>
  <sheetData>
    <row r="1" spans="1:10" ht="16" x14ac:dyDescent="0.4">
      <c r="A1" s="23" t="s">
        <v>56</v>
      </c>
    </row>
    <row r="2" spans="1:10" ht="16" x14ac:dyDescent="0.4">
      <c r="A2" s="24"/>
    </row>
    <row r="3" spans="1:10" ht="17" x14ac:dyDescent="0.5">
      <c r="A3" s="25" t="s">
        <v>45</v>
      </c>
      <c r="B3" s="25" t="s">
        <v>46</v>
      </c>
      <c r="C3" s="25" t="s">
        <v>57</v>
      </c>
      <c r="E3" s="26"/>
    </row>
    <row r="4" spans="1:10" x14ac:dyDescent="0.35">
      <c r="A4" t="s">
        <v>35</v>
      </c>
      <c r="B4" t="s">
        <v>36</v>
      </c>
      <c r="C4">
        <v>9.4700000000000006</v>
      </c>
    </row>
    <row r="5" spans="1:10" x14ac:dyDescent="0.35">
      <c r="A5" t="s">
        <v>37</v>
      </c>
      <c r="B5" t="s">
        <v>38</v>
      </c>
      <c r="C5">
        <v>5.91</v>
      </c>
    </row>
    <row r="6" spans="1:10" x14ac:dyDescent="0.35">
      <c r="A6" t="s">
        <v>39</v>
      </c>
      <c r="B6" t="s">
        <v>40</v>
      </c>
      <c r="C6">
        <v>3.77</v>
      </c>
    </row>
    <row r="7" spans="1:10" x14ac:dyDescent="0.35">
      <c r="A7" t="s">
        <v>41</v>
      </c>
      <c r="B7" t="s">
        <v>42</v>
      </c>
      <c r="C7">
        <v>3.15</v>
      </c>
      <c r="F7" s="32" t="s">
        <v>177</v>
      </c>
      <c r="G7" s="32"/>
    </row>
    <row r="8" spans="1:10" x14ac:dyDescent="0.35">
      <c r="A8" t="s">
        <v>43</v>
      </c>
      <c r="B8" t="s">
        <v>44</v>
      </c>
      <c r="C8">
        <v>3.12</v>
      </c>
    </row>
    <row r="9" spans="1:10" x14ac:dyDescent="0.35">
      <c r="A9" t="s">
        <v>47</v>
      </c>
      <c r="B9" t="s">
        <v>38</v>
      </c>
      <c r="C9">
        <v>2.89</v>
      </c>
      <c r="F9" s="31" t="s">
        <v>58</v>
      </c>
      <c r="G9" t="s">
        <v>59</v>
      </c>
      <c r="I9" s="28" t="s">
        <v>58</v>
      </c>
      <c r="J9" s="28" t="s">
        <v>59</v>
      </c>
    </row>
    <row r="10" spans="1:10" x14ac:dyDescent="0.35">
      <c r="A10" t="s">
        <v>48</v>
      </c>
      <c r="B10" t="s">
        <v>38</v>
      </c>
      <c r="C10">
        <v>2.81</v>
      </c>
      <c r="F10" s="27" t="s">
        <v>60</v>
      </c>
      <c r="G10">
        <v>1.92</v>
      </c>
      <c r="I10" s="27" t="s">
        <v>38</v>
      </c>
      <c r="J10">
        <v>21.78</v>
      </c>
    </row>
    <row r="11" spans="1:10" x14ac:dyDescent="0.35">
      <c r="A11" t="s">
        <v>49</v>
      </c>
      <c r="B11" t="s">
        <v>50</v>
      </c>
      <c r="C11">
        <v>2.73</v>
      </c>
      <c r="F11" s="27" t="s">
        <v>61</v>
      </c>
      <c r="G11">
        <v>5.63</v>
      </c>
      <c r="I11" s="27" t="s">
        <v>36</v>
      </c>
      <c r="J11">
        <v>13.850000000000001</v>
      </c>
    </row>
    <row r="12" spans="1:10" x14ac:dyDescent="0.35">
      <c r="A12" t="s">
        <v>51</v>
      </c>
      <c r="B12" t="s">
        <v>52</v>
      </c>
      <c r="C12">
        <v>2.5099999999999998</v>
      </c>
      <c r="F12" s="27" t="s">
        <v>62</v>
      </c>
      <c r="G12">
        <v>2.4400000000000004</v>
      </c>
      <c r="I12" s="27" t="s">
        <v>66</v>
      </c>
      <c r="J12">
        <v>7.6</v>
      </c>
    </row>
    <row r="13" spans="1:10" x14ac:dyDescent="0.35">
      <c r="A13" t="s">
        <v>53</v>
      </c>
      <c r="B13" t="s">
        <v>36</v>
      </c>
      <c r="C13">
        <v>2.31</v>
      </c>
      <c r="F13" s="27" t="s">
        <v>63</v>
      </c>
      <c r="G13">
        <v>2.17</v>
      </c>
      <c r="I13" s="27" t="s">
        <v>42</v>
      </c>
      <c r="J13">
        <v>6.0399999999999991</v>
      </c>
    </row>
    <row r="14" spans="1:10" x14ac:dyDescent="0.35">
      <c r="A14" t="s">
        <v>64</v>
      </c>
      <c r="B14" t="s">
        <v>38</v>
      </c>
      <c r="C14">
        <v>2.2599999999999998</v>
      </c>
      <c r="F14" s="27" t="s">
        <v>65</v>
      </c>
      <c r="G14">
        <v>0.59000000000000008</v>
      </c>
      <c r="I14" s="27" t="s">
        <v>61</v>
      </c>
      <c r="J14">
        <v>5.63</v>
      </c>
    </row>
    <row r="15" spans="1:10" x14ac:dyDescent="0.35">
      <c r="A15" t="s">
        <v>67</v>
      </c>
      <c r="B15" t="s">
        <v>38</v>
      </c>
      <c r="C15">
        <v>2.23</v>
      </c>
      <c r="F15" s="27" t="s">
        <v>68</v>
      </c>
      <c r="G15">
        <v>0.13</v>
      </c>
      <c r="I15" s="27" t="s">
        <v>40</v>
      </c>
      <c r="J15">
        <v>5.52</v>
      </c>
    </row>
    <row r="16" spans="1:10" x14ac:dyDescent="0.35">
      <c r="A16" t="s">
        <v>69</v>
      </c>
      <c r="B16" t="s">
        <v>70</v>
      </c>
      <c r="C16">
        <v>2.09</v>
      </c>
      <c r="F16" s="27" t="s">
        <v>36</v>
      </c>
      <c r="G16">
        <v>13.850000000000001</v>
      </c>
      <c r="I16" s="27" t="s">
        <v>50</v>
      </c>
      <c r="J16">
        <v>5.3100000000000005</v>
      </c>
    </row>
    <row r="17" spans="1:10" x14ac:dyDescent="0.35">
      <c r="A17" t="s">
        <v>71</v>
      </c>
      <c r="B17" t="s">
        <v>61</v>
      </c>
      <c r="C17">
        <v>2.0099999999999998</v>
      </c>
      <c r="F17" s="27" t="s">
        <v>38</v>
      </c>
      <c r="G17">
        <v>21.78</v>
      </c>
      <c r="I17" s="27" t="s">
        <v>44</v>
      </c>
      <c r="J17">
        <v>5.07</v>
      </c>
    </row>
    <row r="18" spans="1:10" x14ac:dyDescent="0.35">
      <c r="A18" t="s">
        <v>72</v>
      </c>
      <c r="B18" t="s">
        <v>63</v>
      </c>
      <c r="C18">
        <v>2.0099999999999998</v>
      </c>
      <c r="F18" s="27" t="s">
        <v>42</v>
      </c>
      <c r="G18">
        <v>6.0399999999999991</v>
      </c>
      <c r="I18" s="27" t="s">
        <v>70</v>
      </c>
      <c r="J18">
        <v>4.3499999999999996</v>
      </c>
    </row>
    <row r="19" spans="1:10" x14ac:dyDescent="0.35">
      <c r="A19" t="s">
        <v>73</v>
      </c>
      <c r="B19" t="s">
        <v>44</v>
      </c>
      <c r="C19">
        <v>1.95</v>
      </c>
      <c r="F19" s="27" t="s">
        <v>66</v>
      </c>
      <c r="G19">
        <v>7.6</v>
      </c>
      <c r="I19" s="27" t="s">
        <v>52</v>
      </c>
      <c r="J19">
        <v>3.09</v>
      </c>
    </row>
    <row r="20" spans="1:10" x14ac:dyDescent="0.35">
      <c r="A20" t="s">
        <v>74</v>
      </c>
      <c r="B20" t="s">
        <v>38</v>
      </c>
      <c r="C20">
        <v>1.69</v>
      </c>
      <c r="F20" s="27" t="s">
        <v>40</v>
      </c>
      <c r="G20">
        <v>5.52</v>
      </c>
      <c r="I20" s="27" t="s">
        <v>62</v>
      </c>
      <c r="J20">
        <v>2.4400000000000004</v>
      </c>
    </row>
    <row r="21" spans="1:10" x14ac:dyDescent="0.35">
      <c r="A21" t="s">
        <v>75</v>
      </c>
      <c r="B21" t="s">
        <v>66</v>
      </c>
      <c r="C21">
        <v>1.64</v>
      </c>
      <c r="F21" s="27" t="s">
        <v>44</v>
      </c>
      <c r="G21">
        <v>5.07</v>
      </c>
      <c r="I21" s="27" t="s">
        <v>78</v>
      </c>
      <c r="J21">
        <v>2.2399999999999998</v>
      </c>
    </row>
    <row r="22" spans="1:10" x14ac:dyDescent="0.35">
      <c r="A22" t="s">
        <v>76</v>
      </c>
      <c r="B22" t="s">
        <v>70</v>
      </c>
      <c r="C22">
        <v>1.55</v>
      </c>
      <c r="F22" s="27" t="s">
        <v>70</v>
      </c>
      <c r="G22">
        <v>4.3499999999999996</v>
      </c>
      <c r="I22" s="27" t="s">
        <v>63</v>
      </c>
      <c r="J22">
        <v>2.17</v>
      </c>
    </row>
    <row r="23" spans="1:10" x14ac:dyDescent="0.35">
      <c r="A23" t="s">
        <v>77</v>
      </c>
      <c r="B23" t="s">
        <v>66</v>
      </c>
      <c r="C23">
        <v>1.49</v>
      </c>
      <c r="F23" s="27" t="s">
        <v>50</v>
      </c>
      <c r="G23">
        <v>5.3100000000000005</v>
      </c>
      <c r="I23" s="27" t="s">
        <v>81</v>
      </c>
      <c r="J23">
        <v>2.0099999999999998</v>
      </c>
    </row>
    <row r="24" spans="1:10" x14ac:dyDescent="0.35">
      <c r="A24" t="s">
        <v>79</v>
      </c>
      <c r="B24" t="s">
        <v>38</v>
      </c>
      <c r="C24">
        <v>1.49</v>
      </c>
      <c r="F24" s="27" t="s">
        <v>78</v>
      </c>
      <c r="G24">
        <v>2.2399999999999998</v>
      </c>
      <c r="I24" s="27" t="s">
        <v>60</v>
      </c>
      <c r="J24">
        <v>1.92</v>
      </c>
    </row>
    <row r="25" spans="1:10" x14ac:dyDescent="0.35">
      <c r="A25" t="s">
        <v>80</v>
      </c>
      <c r="B25" t="s">
        <v>50</v>
      </c>
      <c r="C25">
        <v>1.44</v>
      </c>
      <c r="F25" s="27" t="s">
        <v>81</v>
      </c>
      <c r="G25">
        <v>2.0099999999999998</v>
      </c>
      <c r="I25" s="27" t="s">
        <v>83</v>
      </c>
      <c r="J25">
        <v>1.47</v>
      </c>
    </row>
    <row r="26" spans="1:10" x14ac:dyDescent="0.35">
      <c r="A26" t="s">
        <v>82</v>
      </c>
      <c r="B26" t="s">
        <v>78</v>
      </c>
      <c r="C26">
        <v>1.39</v>
      </c>
      <c r="F26" s="27" t="s">
        <v>83</v>
      </c>
      <c r="G26">
        <v>1.47</v>
      </c>
      <c r="I26" s="27" t="s">
        <v>86</v>
      </c>
      <c r="J26">
        <v>1.2</v>
      </c>
    </row>
    <row r="27" spans="1:10" x14ac:dyDescent="0.35">
      <c r="A27" t="s">
        <v>84</v>
      </c>
      <c r="B27" t="s">
        <v>60</v>
      </c>
      <c r="C27">
        <v>1.34</v>
      </c>
      <c r="F27" s="27" t="s">
        <v>52</v>
      </c>
      <c r="G27">
        <v>3.09</v>
      </c>
      <c r="I27" s="27" t="s">
        <v>65</v>
      </c>
      <c r="J27">
        <v>0.59000000000000008</v>
      </c>
    </row>
    <row r="28" spans="1:10" x14ac:dyDescent="0.35">
      <c r="A28" t="s">
        <v>85</v>
      </c>
      <c r="B28" t="s">
        <v>83</v>
      </c>
      <c r="C28">
        <v>1.31</v>
      </c>
      <c r="F28" s="27" t="s">
        <v>86</v>
      </c>
      <c r="G28">
        <v>1.2</v>
      </c>
      <c r="I28" s="27" t="s">
        <v>68</v>
      </c>
      <c r="J28">
        <v>0.13</v>
      </c>
    </row>
    <row r="29" spans="1:10" x14ac:dyDescent="0.35">
      <c r="A29" t="s">
        <v>87</v>
      </c>
      <c r="B29" t="s">
        <v>61</v>
      </c>
      <c r="C29">
        <v>1.26</v>
      </c>
      <c r="F29" s="27" t="s">
        <v>88</v>
      </c>
      <c r="G29">
        <v>92.410000000000011</v>
      </c>
    </row>
    <row r="30" spans="1:10" x14ac:dyDescent="0.35">
      <c r="A30" t="s">
        <v>89</v>
      </c>
      <c r="B30" t="s">
        <v>61</v>
      </c>
      <c r="C30">
        <v>1.23</v>
      </c>
    </row>
    <row r="31" spans="1:10" x14ac:dyDescent="0.35">
      <c r="A31" t="s">
        <v>90</v>
      </c>
      <c r="B31" t="s">
        <v>81</v>
      </c>
      <c r="C31">
        <v>1.17</v>
      </c>
    </row>
    <row r="32" spans="1:10" x14ac:dyDescent="0.35">
      <c r="A32" t="s">
        <v>91</v>
      </c>
      <c r="B32" t="s">
        <v>66</v>
      </c>
      <c r="C32">
        <v>1.1499999999999999</v>
      </c>
    </row>
    <row r="33" spans="1:3" x14ac:dyDescent="0.35">
      <c r="A33" t="s">
        <v>92</v>
      </c>
      <c r="B33" t="s">
        <v>36</v>
      </c>
      <c r="C33">
        <v>1.1399999999999999</v>
      </c>
    </row>
    <row r="34" spans="1:3" x14ac:dyDescent="0.35">
      <c r="A34" t="s">
        <v>93</v>
      </c>
      <c r="B34" t="s">
        <v>42</v>
      </c>
      <c r="C34">
        <v>1.03</v>
      </c>
    </row>
    <row r="35" spans="1:3" x14ac:dyDescent="0.35">
      <c r="A35" t="s">
        <v>94</v>
      </c>
      <c r="B35" t="s">
        <v>66</v>
      </c>
      <c r="C35">
        <v>0.99</v>
      </c>
    </row>
    <row r="36" spans="1:3" x14ac:dyDescent="0.35">
      <c r="A36" t="s">
        <v>95</v>
      </c>
      <c r="B36" t="s">
        <v>42</v>
      </c>
      <c r="C36">
        <v>0.84</v>
      </c>
    </row>
    <row r="37" spans="1:3" x14ac:dyDescent="0.35">
      <c r="A37" t="s">
        <v>96</v>
      </c>
      <c r="B37" t="s">
        <v>42</v>
      </c>
      <c r="C37">
        <v>0.75</v>
      </c>
    </row>
    <row r="38" spans="1:3" x14ac:dyDescent="0.35">
      <c r="A38" t="s">
        <v>97</v>
      </c>
      <c r="B38" t="s">
        <v>62</v>
      </c>
      <c r="C38">
        <v>0.75</v>
      </c>
    </row>
    <row r="39" spans="1:3" x14ac:dyDescent="0.35">
      <c r="A39" t="s">
        <v>98</v>
      </c>
      <c r="B39" t="s">
        <v>50</v>
      </c>
      <c r="C39">
        <v>0.74</v>
      </c>
    </row>
    <row r="40" spans="1:3" x14ac:dyDescent="0.35">
      <c r="A40" t="s">
        <v>99</v>
      </c>
      <c r="B40" t="s">
        <v>70</v>
      </c>
      <c r="C40">
        <v>0.71</v>
      </c>
    </row>
    <row r="41" spans="1:3" x14ac:dyDescent="0.35">
      <c r="A41" t="s">
        <v>100</v>
      </c>
      <c r="B41" t="s">
        <v>38</v>
      </c>
      <c r="C41">
        <v>0.71</v>
      </c>
    </row>
    <row r="42" spans="1:3" x14ac:dyDescent="0.35">
      <c r="A42" t="s">
        <v>101</v>
      </c>
      <c r="B42" t="s">
        <v>81</v>
      </c>
      <c r="C42">
        <v>0.67</v>
      </c>
    </row>
    <row r="43" spans="1:3" x14ac:dyDescent="0.35">
      <c r="A43" t="s">
        <v>102</v>
      </c>
      <c r="B43" t="s">
        <v>86</v>
      </c>
      <c r="C43">
        <v>0.66</v>
      </c>
    </row>
    <row r="44" spans="1:3" x14ac:dyDescent="0.35">
      <c r="A44" t="s">
        <v>103</v>
      </c>
      <c r="B44" t="s">
        <v>38</v>
      </c>
      <c r="C44">
        <v>0.63</v>
      </c>
    </row>
    <row r="45" spans="1:3" x14ac:dyDescent="0.35">
      <c r="A45" t="s">
        <v>104</v>
      </c>
      <c r="B45" t="s">
        <v>38</v>
      </c>
      <c r="C45">
        <v>0.62</v>
      </c>
    </row>
    <row r="46" spans="1:3" x14ac:dyDescent="0.35">
      <c r="A46" t="s">
        <v>105</v>
      </c>
      <c r="B46" t="s">
        <v>66</v>
      </c>
      <c r="C46">
        <v>0.59</v>
      </c>
    </row>
    <row r="47" spans="1:3" x14ac:dyDescent="0.35">
      <c r="A47" t="s">
        <v>106</v>
      </c>
      <c r="B47" t="s">
        <v>66</v>
      </c>
      <c r="C47">
        <v>0.54</v>
      </c>
    </row>
    <row r="48" spans="1:3" x14ac:dyDescent="0.35">
      <c r="A48" t="s">
        <v>107</v>
      </c>
      <c r="B48" t="s">
        <v>40</v>
      </c>
      <c r="C48">
        <v>0.53</v>
      </c>
    </row>
    <row r="49" spans="1:3" x14ac:dyDescent="0.35">
      <c r="A49" t="s">
        <v>108</v>
      </c>
      <c r="B49" t="s">
        <v>78</v>
      </c>
      <c r="C49">
        <v>0.46</v>
      </c>
    </row>
    <row r="50" spans="1:3" x14ac:dyDescent="0.35">
      <c r="A50" t="s">
        <v>109</v>
      </c>
      <c r="B50" t="s">
        <v>65</v>
      </c>
      <c r="C50">
        <v>0.46</v>
      </c>
    </row>
    <row r="51" spans="1:3" x14ac:dyDescent="0.35">
      <c r="A51" t="s">
        <v>110</v>
      </c>
      <c r="B51" t="s">
        <v>60</v>
      </c>
      <c r="C51">
        <v>0.45</v>
      </c>
    </row>
    <row r="52" spans="1:3" x14ac:dyDescent="0.35">
      <c r="A52" t="s">
        <v>111</v>
      </c>
      <c r="B52" t="s">
        <v>62</v>
      </c>
      <c r="C52">
        <v>0.44</v>
      </c>
    </row>
    <row r="53" spans="1:3" x14ac:dyDescent="0.35">
      <c r="A53" t="s">
        <v>112</v>
      </c>
      <c r="B53" t="s">
        <v>61</v>
      </c>
      <c r="C53">
        <v>0.43</v>
      </c>
    </row>
    <row r="54" spans="1:3" x14ac:dyDescent="0.35">
      <c r="A54" t="s">
        <v>113</v>
      </c>
      <c r="B54" t="s">
        <v>40</v>
      </c>
      <c r="C54">
        <v>0.42</v>
      </c>
    </row>
    <row r="55" spans="1:3" x14ac:dyDescent="0.35">
      <c r="A55" t="s">
        <v>114</v>
      </c>
      <c r="B55" t="s">
        <v>52</v>
      </c>
      <c r="C55">
        <v>0.4</v>
      </c>
    </row>
    <row r="56" spans="1:3" x14ac:dyDescent="0.35">
      <c r="A56" t="s">
        <v>115</v>
      </c>
      <c r="B56" t="s">
        <v>50</v>
      </c>
      <c r="C56">
        <v>0.4</v>
      </c>
    </row>
    <row r="57" spans="1:3" x14ac:dyDescent="0.35">
      <c r="A57" t="s">
        <v>116</v>
      </c>
      <c r="B57" t="s">
        <v>38</v>
      </c>
      <c r="C57">
        <v>0.39</v>
      </c>
    </row>
    <row r="58" spans="1:3" x14ac:dyDescent="0.35">
      <c r="A58" t="s">
        <v>117</v>
      </c>
      <c r="B58" t="s">
        <v>40</v>
      </c>
      <c r="C58">
        <v>0.39</v>
      </c>
    </row>
    <row r="59" spans="1:3" x14ac:dyDescent="0.35">
      <c r="A59" t="s">
        <v>118</v>
      </c>
      <c r="B59" t="s">
        <v>61</v>
      </c>
      <c r="C59">
        <v>0.38</v>
      </c>
    </row>
    <row r="60" spans="1:3" x14ac:dyDescent="0.35">
      <c r="A60" t="s">
        <v>119</v>
      </c>
      <c r="B60" t="s">
        <v>62</v>
      </c>
      <c r="C60">
        <v>0.37</v>
      </c>
    </row>
    <row r="61" spans="1:3" x14ac:dyDescent="0.35">
      <c r="A61" t="s">
        <v>120</v>
      </c>
      <c r="B61" t="s">
        <v>61</v>
      </c>
      <c r="C61">
        <v>0.32</v>
      </c>
    </row>
    <row r="62" spans="1:3" x14ac:dyDescent="0.35">
      <c r="A62" t="s">
        <v>121</v>
      </c>
      <c r="B62" t="s">
        <v>78</v>
      </c>
      <c r="C62">
        <v>0.31</v>
      </c>
    </row>
    <row r="63" spans="1:3" x14ac:dyDescent="0.35">
      <c r="A63" t="s">
        <v>122</v>
      </c>
      <c r="B63" t="s">
        <v>40</v>
      </c>
      <c r="C63">
        <v>0.3</v>
      </c>
    </row>
    <row r="64" spans="1:3" x14ac:dyDescent="0.35">
      <c r="A64" t="s">
        <v>123</v>
      </c>
      <c r="B64" t="s">
        <v>62</v>
      </c>
      <c r="C64">
        <v>0.3</v>
      </c>
    </row>
    <row r="65" spans="1:3" x14ac:dyDescent="0.35">
      <c r="A65" t="s">
        <v>124</v>
      </c>
      <c r="B65" t="s">
        <v>66</v>
      </c>
      <c r="C65">
        <v>0.3</v>
      </c>
    </row>
    <row r="66" spans="1:3" x14ac:dyDescent="0.35">
      <c r="A66" t="s">
        <v>125</v>
      </c>
      <c r="B66" t="s">
        <v>86</v>
      </c>
      <c r="C66">
        <v>0.3</v>
      </c>
    </row>
    <row r="67" spans="1:3" x14ac:dyDescent="0.35">
      <c r="A67" t="s">
        <v>126</v>
      </c>
      <c r="B67" t="s">
        <v>36</v>
      </c>
      <c r="C67">
        <v>0.3</v>
      </c>
    </row>
    <row r="68" spans="1:3" x14ac:dyDescent="0.35">
      <c r="A68" t="s">
        <v>127</v>
      </c>
      <c r="B68" t="s">
        <v>66</v>
      </c>
      <c r="C68">
        <v>0.28000000000000003</v>
      </c>
    </row>
    <row r="69" spans="1:3" x14ac:dyDescent="0.35">
      <c r="A69" t="s">
        <v>128</v>
      </c>
      <c r="B69" t="s">
        <v>36</v>
      </c>
      <c r="C69">
        <v>0.28000000000000003</v>
      </c>
    </row>
    <row r="70" spans="1:3" x14ac:dyDescent="0.35">
      <c r="A70" t="s">
        <v>129</v>
      </c>
      <c r="B70" t="s">
        <v>42</v>
      </c>
      <c r="C70">
        <v>0.27</v>
      </c>
    </row>
    <row r="71" spans="1:3" x14ac:dyDescent="0.35">
      <c r="A71" t="s">
        <v>130</v>
      </c>
      <c r="B71" t="s">
        <v>36</v>
      </c>
      <c r="C71">
        <v>0.24</v>
      </c>
    </row>
    <row r="72" spans="1:3" x14ac:dyDescent="0.35">
      <c r="A72" t="s">
        <v>131</v>
      </c>
      <c r="B72" t="s">
        <v>66</v>
      </c>
      <c r="C72">
        <v>0.21</v>
      </c>
    </row>
    <row r="73" spans="1:3" x14ac:dyDescent="0.35">
      <c r="A73" t="s">
        <v>132</v>
      </c>
      <c r="B73" t="s">
        <v>62</v>
      </c>
      <c r="C73">
        <v>0.21</v>
      </c>
    </row>
    <row r="74" spans="1:3" x14ac:dyDescent="0.35">
      <c r="A74" t="s">
        <v>133</v>
      </c>
      <c r="B74" t="s">
        <v>66</v>
      </c>
      <c r="C74">
        <v>0.2</v>
      </c>
    </row>
    <row r="75" spans="1:3" x14ac:dyDescent="0.35">
      <c r="A75" t="s">
        <v>134</v>
      </c>
      <c r="B75" t="s">
        <v>52</v>
      </c>
      <c r="C75">
        <v>0.18</v>
      </c>
    </row>
    <row r="76" spans="1:3" x14ac:dyDescent="0.35">
      <c r="A76" t="s">
        <v>135</v>
      </c>
      <c r="B76" t="s">
        <v>81</v>
      </c>
      <c r="C76">
        <v>0.17</v>
      </c>
    </row>
    <row r="77" spans="1:3" x14ac:dyDescent="0.35">
      <c r="A77" t="s">
        <v>136</v>
      </c>
      <c r="B77" t="s">
        <v>83</v>
      </c>
      <c r="C77">
        <v>0.16</v>
      </c>
    </row>
    <row r="78" spans="1:3" x14ac:dyDescent="0.35">
      <c r="A78" t="s">
        <v>137</v>
      </c>
      <c r="B78" t="s">
        <v>62</v>
      </c>
      <c r="C78">
        <v>0.16</v>
      </c>
    </row>
    <row r="79" spans="1:3" x14ac:dyDescent="0.35">
      <c r="A79" t="s">
        <v>138</v>
      </c>
      <c r="B79" t="s">
        <v>63</v>
      </c>
      <c r="C79">
        <v>0.16</v>
      </c>
    </row>
    <row r="80" spans="1:3" x14ac:dyDescent="0.35">
      <c r="A80" t="s">
        <v>139</v>
      </c>
      <c r="B80" t="s">
        <v>38</v>
      </c>
      <c r="C80">
        <v>0.15</v>
      </c>
    </row>
    <row r="81" spans="1:7" x14ac:dyDescent="0.35">
      <c r="A81" t="s">
        <v>140</v>
      </c>
      <c r="B81" t="s">
        <v>66</v>
      </c>
      <c r="C81">
        <v>0.14000000000000001</v>
      </c>
    </row>
    <row r="82" spans="1:7" x14ac:dyDescent="0.35">
      <c r="A82" t="s">
        <v>141</v>
      </c>
      <c r="B82" t="s">
        <v>86</v>
      </c>
      <c r="C82">
        <v>0.13</v>
      </c>
    </row>
    <row r="83" spans="1:7" x14ac:dyDescent="0.35">
      <c r="A83" t="s">
        <v>142</v>
      </c>
      <c r="B83" t="s">
        <v>65</v>
      </c>
      <c r="C83">
        <v>0.13</v>
      </c>
    </row>
    <row r="84" spans="1:7" x14ac:dyDescent="0.35">
      <c r="A84" t="s">
        <v>143</v>
      </c>
      <c r="B84" t="s">
        <v>62</v>
      </c>
      <c r="C84">
        <v>0.13</v>
      </c>
    </row>
    <row r="85" spans="1:7" x14ac:dyDescent="0.35">
      <c r="A85" t="s">
        <v>144</v>
      </c>
      <c r="B85" t="s">
        <v>68</v>
      </c>
      <c r="C85">
        <v>0.13</v>
      </c>
      <c r="F85" s="32" t="s">
        <v>176</v>
      </c>
    </row>
    <row r="86" spans="1:7" x14ac:dyDescent="0.35">
      <c r="A86" t="s">
        <v>145</v>
      </c>
      <c r="B86" t="s">
        <v>60</v>
      </c>
      <c r="C86">
        <v>0.13</v>
      </c>
    </row>
    <row r="87" spans="1:7" x14ac:dyDescent="0.35">
      <c r="A87" t="s">
        <v>146</v>
      </c>
      <c r="B87" t="s">
        <v>86</v>
      </c>
      <c r="C87">
        <v>0.11</v>
      </c>
      <c r="F87" t="s">
        <v>56</v>
      </c>
      <c r="G87">
        <v>92.41</v>
      </c>
    </row>
    <row r="88" spans="1:7" x14ac:dyDescent="0.35">
      <c r="A88" t="s">
        <v>147</v>
      </c>
      <c r="B88" t="s">
        <v>40</v>
      </c>
      <c r="C88">
        <v>0.11</v>
      </c>
      <c r="F88" t="s">
        <v>153</v>
      </c>
      <c r="G88">
        <v>1.2</v>
      </c>
    </row>
    <row r="89" spans="1:7" x14ac:dyDescent="0.35">
      <c r="A89" t="s">
        <v>148</v>
      </c>
      <c r="B89" t="s">
        <v>36</v>
      </c>
      <c r="C89">
        <v>0.09</v>
      </c>
      <c r="F89" t="s">
        <v>162</v>
      </c>
      <c r="G89">
        <v>3.71</v>
      </c>
    </row>
    <row r="90" spans="1:7" x14ac:dyDescent="0.35">
      <c r="A90" t="s">
        <v>149</v>
      </c>
      <c r="B90" t="s">
        <v>78</v>
      </c>
      <c r="C90">
        <v>0.08</v>
      </c>
      <c r="F90" t="s">
        <v>167</v>
      </c>
      <c r="G90">
        <v>2.66</v>
      </c>
    </row>
    <row r="91" spans="1:7" x14ac:dyDescent="0.35">
      <c r="A91" t="s">
        <v>150</v>
      </c>
      <c r="B91" t="s">
        <v>62</v>
      </c>
      <c r="C91">
        <v>0.08</v>
      </c>
    </row>
    <row r="92" spans="1:7" x14ac:dyDescent="0.35">
      <c r="A92" t="s">
        <v>151</v>
      </c>
      <c r="B92" t="s">
        <v>66</v>
      </c>
      <c r="C92">
        <v>7.0000000000000007E-2</v>
      </c>
    </row>
    <row r="93" spans="1:7" x14ac:dyDescent="0.35">
      <c r="A93" t="s">
        <v>152</v>
      </c>
      <c r="B93" t="s">
        <v>36</v>
      </c>
      <c r="C93">
        <v>0.02</v>
      </c>
    </row>
    <row r="95" spans="1:7" x14ac:dyDescent="0.35">
      <c r="A95" s="29" t="s">
        <v>54</v>
      </c>
      <c r="C95">
        <v>92.41</v>
      </c>
    </row>
    <row r="97" spans="1:8" ht="16" x14ac:dyDescent="0.4">
      <c r="A97" s="23" t="s">
        <v>153</v>
      </c>
    </row>
    <row r="98" spans="1:8" ht="17" x14ac:dyDescent="0.5">
      <c r="A98" s="25" t="s">
        <v>154</v>
      </c>
      <c r="B98" s="25" t="s">
        <v>155</v>
      </c>
      <c r="C98" s="25" t="s">
        <v>156</v>
      </c>
      <c r="D98" s="25" t="s">
        <v>157</v>
      </c>
    </row>
    <row r="100" spans="1:8" x14ac:dyDescent="0.35">
      <c r="A100" t="s">
        <v>158</v>
      </c>
      <c r="B100" t="s">
        <v>159</v>
      </c>
      <c r="C100" t="s">
        <v>160</v>
      </c>
      <c r="D100">
        <v>0.94</v>
      </c>
    </row>
    <row r="101" spans="1:8" x14ac:dyDescent="0.35">
      <c r="A101" t="s">
        <v>161</v>
      </c>
      <c r="B101" t="s">
        <v>159</v>
      </c>
      <c r="C101" t="s">
        <v>160</v>
      </c>
      <c r="D101">
        <v>0.26</v>
      </c>
    </row>
    <row r="103" spans="1:8" x14ac:dyDescent="0.35">
      <c r="A103" s="29" t="s">
        <v>54</v>
      </c>
      <c r="D103">
        <v>1.2</v>
      </c>
    </row>
    <row r="105" spans="1:8" x14ac:dyDescent="0.35">
      <c r="A105" s="30" t="s">
        <v>162</v>
      </c>
    </row>
    <row r="106" spans="1:8" ht="17" x14ac:dyDescent="0.5">
      <c r="A106" s="25" t="s">
        <v>154</v>
      </c>
      <c r="B106" s="25"/>
      <c r="C106" s="25"/>
      <c r="D106" s="25" t="s">
        <v>155</v>
      </c>
      <c r="E106" s="25"/>
      <c r="F106" s="25"/>
      <c r="G106" s="25" t="s">
        <v>157</v>
      </c>
      <c r="H106" s="25"/>
    </row>
    <row r="108" spans="1:8" x14ac:dyDescent="0.35">
      <c r="A108" t="s">
        <v>64</v>
      </c>
      <c r="D108" t="s">
        <v>163</v>
      </c>
      <c r="H108">
        <v>3.49</v>
      </c>
    </row>
    <row r="109" spans="1:8" x14ac:dyDescent="0.35">
      <c r="A109" t="s">
        <v>164</v>
      </c>
      <c r="D109" t="s">
        <v>163</v>
      </c>
      <c r="H109">
        <v>0.22</v>
      </c>
    </row>
    <row r="110" spans="1:8" x14ac:dyDescent="0.35">
      <c r="A110" t="s">
        <v>165</v>
      </c>
      <c r="D110" t="s">
        <v>166</v>
      </c>
      <c r="H110">
        <v>0</v>
      </c>
    </row>
    <row r="112" spans="1:8" x14ac:dyDescent="0.35">
      <c r="A112" s="29" t="s">
        <v>54</v>
      </c>
      <c r="H112">
        <v>3.71</v>
      </c>
    </row>
    <row r="114" spans="1:4" ht="16" x14ac:dyDescent="0.4">
      <c r="A114" s="23" t="s">
        <v>167</v>
      </c>
    </row>
    <row r="115" spans="1:4" ht="17" x14ac:dyDescent="0.5">
      <c r="A115" s="25" t="s">
        <v>154</v>
      </c>
      <c r="B115" s="25"/>
      <c r="C115" s="25"/>
      <c r="D115" s="25" t="s">
        <v>157</v>
      </c>
    </row>
    <row r="117" spans="1:4" x14ac:dyDescent="0.35">
      <c r="A117" t="s">
        <v>168</v>
      </c>
      <c r="D117">
        <v>4.24</v>
      </c>
    </row>
    <row r="118" spans="1:4" x14ac:dyDescent="0.35">
      <c r="A118" t="s">
        <v>169</v>
      </c>
      <c r="D118">
        <v>-1.58</v>
      </c>
    </row>
    <row r="120" spans="1:4" x14ac:dyDescent="0.35">
      <c r="A120" s="29" t="s">
        <v>54</v>
      </c>
      <c r="D120">
        <v>2.66</v>
      </c>
    </row>
    <row r="121" spans="1:4" x14ac:dyDescent="0.35">
      <c r="A121" s="29" t="s">
        <v>88</v>
      </c>
      <c r="D121">
        <v>100</v>
      </c>
    </row>
    <row r="123" spans="1:4" ht="17" x14ac:dyDescent="0.4">
      <c r="A123" t="s">
        <v>170</v>
      </c>
    </row>
    <row r="124" spans="1:4" x14ac:dyDescent="0.35">
      <c r="A124" t="s">
        <v>171</v>
      </c>
    </row>
    <row r="125" spans="1:4" x14ac:dyDescent="0.35">
      <c r="A125" t="s">
        <v>172</v>
      </c>
    </row>
    <row r="126" spans="1:4" x14ac:dyDescent="0.35">
      <c r="A126" t="s">
        <v>173</v>
      </c>
    </row>
    <row r="127" spans="1:4" x14ac:dyDescent="0.35">
      <c r="A127" t="s">
        <v>174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CIQ_LinkingNames</vt:lpstr>
      <vt:lpstr>Analysis</vt:lpstr>
      <vt:lpstr>Holdings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Verma</dc:creator>
  <cp:lastModifiedBy>Aman Singh</cp:lastModifiedBy>
  <dcterms:created xsi:type="dcterms:W3CDTF">2024-05-04T14:26:30Z</dcterms:created>
  <dcterms:modified xsi:type="dcterms:W3CDTF">2024-06-26T03:03:16Z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{6C3969AC-6200-499C-BFF3-27207D649B09}</vt:lpwstr>
  </property>
</Properties>
</file>