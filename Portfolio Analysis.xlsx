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 Holdings" sheetId="1" r:id="rId5"/>
    <sheet state="visible" name="MF holdings and transactions" sheetId="2" r:id="rId6"/>
    <sheet state="visible" name="MF CAS" sheetId="3" r:id="rId7"/>
    <sheet state="visible" name="Stocks Transaction" sheetId="4" r:id="rId8"/>
    <sheet state="visible" name="Crypto Analysis" sheetId="5" r:id="rId9"/>
    <sheet state="visible" name="Stocks + ETF holdings" sheetId="6" r:id="rId10"/>
  </sheets>
  <definedNames>
    <definedName hidden="1" localSheetId="0" name="_xlnm._FilterDatabase">'Portfolio  Holdings'!$B$3:$C$313</definedName>
    <definedName hidden="1" localSheetId="3" name="_xlnm._FilterDatabase">'Stocks Transaction'!$E$54:$F$109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tc={3eea969c-87eb-4e5f-ab23-4a43a4003155}</author>
    <author>tc={90387732-e243-4f36-9ca9-d7e0d35f10b4}</author>
    <author>tc={a988cb70-44ed-42aa-9c91-082ed95632a5}</author>
    <author>tc={b3ed0af4-2894-46e5-bd0b-10ac079d3539}</author>
    <author>tc={c073e35b-3068-4313-b349-06beffda48e9}</author>
  </authors>
  <commentList>
    <comment authorId="0" xr:uid="{3eea969c-87eb-4e5f-ab23-4a43a4003155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period
</t>
      </text>
    </comment>
    <comment authorId="1" xr:uid="{90387732-e243-4f36-9ca9-d7e0d35f10b4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ending date
</t>
      </text>
    </comment>
    <comment authorId="2" xr:uid="{a988cb70-44ed-42aa-9c91-082ed95632a5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starting date
</t>
      </text>
    </comment>
    <comment authorId="3" xr:uid="{b3ed0af4-2894-46e5-bd0b-10ac079d3539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starting price
</t>
      </text>
    </comment>
    <comment authorId="4" xr:uid="{c073e35b-3068-4313-b349-06beffda48e9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 price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tc={03b883bc-08ea-4e00-ac4c-a2e0c5f2d75a}</author>
    <author>tc={0575b053-6910-40f7-b3a8-5fbd4fe2e5f3}</author>
    <author>tc={0a92f8bc-79cf-4c44-b41f-1141badaa6d6}</author>
    <author>tc={0caeb8ed-2969-429a-bccd-8dd89298a8c3}</author>
    <author>tc={19adb74c-d3a6-4651-94ee-716cb8487e11}</author>
    <author>tc={1ce10b51-88fc-4b64-9333-eabd0034acd3}</author>
    <author>tc={1f16e48a-ffe9-406e-9c60-cab818495a88}</author>
    <author>tc={1fc69713-3394-4300-928c-b07e11d4329d}</author>
    <author>tc={21114b67-b7d1-4992-b6c3-cb7b80af0cec}</author>
    <author>tc={218941b0-1008-440e-aa97-fb5d426c5d31}</author>
    <author>tc={27ad7f55-75a3-4fd0-9639-5f9bd094fef7}</author>
    <author>tc={39f9b8dd-6d4f-4a3b-a28f-1b89c7046bd4}</author>
    <author>tc={3c1e62b9-9bbc-4899-b636-8dcf867a7d6f}</author>
    <author>tc={419e542f-acd9-423f-ab6a-df358542ead2}</author>
    <author>tc={49f4f89e-d423-4b31-a24f-e0128d54f3f6}</author>
    <author>tc={4b890a7c-5773-4955-8335-ddeb8231c271}</author>
    <author>tc={4d71cb9e-d4e3-41d6-958d-15c9cf5798c1}</author>
    <author>tc={54b99023-32ef-427a-9373-2ce1f4f48ef0}</author>
    <author>tc={5aac40f2-383b-4816-8ae8-9de986002520}</author>
    <author>tc={5b33b387-f9c8-4648-a2f5-dbd742534720}</author>
    <author>tc={617bb368-a555-4f00-b26d-1586d77ca8b6}</author>
    <author>tc={765b2679-bf4f-4cb5-8925-33bc9d21f665}</author>
    <author>tc={7ce4da03-ac06-4c9e-93be-5c292d2029fc}</author>
    <author>tc={82b8a843-7edd-4f03-b386-516ba01164fb}</author>
    <author>tc={8881426b-322d-4823-a364-0e2d87a8ba6e}</author>
    <author>tc={8958db43-2708-4d00-879a-e6bc4d0d324c}</author>
    <author>tc={8b6e2b17-a7c4-426e-8c3f-e49c285a6b3b}</author>
    <author>tc={94f0bccf-c6ba-450d-b3be-8d2b9ce5fded}</author>
    <author>tc={a066f799-060c-41e5-9310-79d61a0147ee}</author>
    <author>tc={a9d81934-00e3-4b94-a959-6e8bdb366d61}</author>
    <author>tc={b363adee-2a4e-4df9-a38d-7b1c40fdacb5}</author>
    <author>tc={b3895503-204c-4297-b773-c0237e8c9230}</author>
    <author>tc={b43b0a2b-88ff-4f5d-8d4c-f674eefccab6}</author>
    <author>tc={bcbf3a31-dbd6-4fc6-b0fe-2c43e9654523}</author>
    <author>tc={cdaeaaf9-67b5-4696-972f-51307358a913}</author>
    <author>tc={ce99d0bb-d97e-41e2-ab87-60037efe4bf1}</author>
    <author>tc={d364a1d7-4698-4a79-9c0e-75e8242d50ce}</author>
    <author>tc={dd97be50-91d7-4878-a0de-c129b4c0468c}</author>
    <author>tc={eb89e94f-fcae-472b-bdb0-37bd298dd789}</author>
    <author>tc={f0e5a5ff-2a35-4c0c-9db4-74925fda72ae}</author>
    <author>tc={f7ab9dd5-cdc9-4f8e-8257-a3e7eeacc16a}</author>
    <author>tc={f8ee0691-2095-469a-aa82-82e688c70171}</author>
    <author>tc={fb98e147-7342-467c-8e00-d5164dd67fe4}</author>
  </authors>
  <commentList>
    <comment authorId="0" xr:uid="{03b883bc-08ea-4e00-ac4c-a2e0c5f2d75a}" ref="B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1" xr:uid="{0575b053-6910-40f7-b3a8-5fbd4fe2e5f3}" ref="B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 LOSS (-5)
Reply:
	to find more returns while increasing the risk (corporate bond to liquid fund)
</t>
      </text>
    </comment>
    <comment authorId="2" xr:uid="{0a92f8bc-79cf-4c44-b41f-1141badaa6d6}" ref="B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3" xr:uid="{0caeb8ed-2969-429a-bccd-8dd89298a8c3}" ref="B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4" xr:uid="{19adb74c-d3a6-4651-94ee-716cb8487e11}" ref="B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park money for safety (volatile or too bullish market)
</t>
      </text>
    </comment>
    <comment authorId="5" xr:uid="{1ce10b51-88fc-4b64-9333-eabd0034acd3}" ref="B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mistakenly invested so redeemed
</t>
      </text>
    </comment>
    <comment authorId="6" xr:uid="{1f16e48a-ffe9-406e-9c60-cab818495a88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available at good value so bought instead of Motilal Nasdaq 100
</t>
      </text>
    </comment>
    <comment authorId="7" xr:uid="{1fc69713-3394-4300-928c-b07e11d4329d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8" xr:uid="{21114b67-b7d1-4992-b6c3-cb7b80af0cec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 from profit booked
</t>
      </text>
    </comment>
    <comment authorId="9" xr:uid="{218941b0-1008-440e-aa97-fb5d426c5d31}" ref="B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invest at right time (bear market)
</t>
      </text>
    </comment>
    <comment authorId="10" xr:uid="{27ad7f55-75a3-4fd0-9639-5f9bd094fef7}" ref="B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11" xr:uid="{39f9b8dd-6d4f-4a3b-a28f-1b89c7046bd4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1500 SIP in 3 mutual funds, 500 manual ETF SIP
</t>
      </text>
    </comment>
    <comment authorId="12" xr:uid="{3c1e62b9-9bbc-4899-b636-8dcf867a7d6f}" ref="B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 profit (+1)
</t>
      </text>
    </comment>
    <comment authorId="13" xr:uid="{419e542f-acd9-423f-ab6a-df358542ead2}" ref="B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find more returns while increasing the risk (debt to flexicap)
</t>
      </text>
    </comment>
    <comment authorId="14" xr:uid="{49f4f89e-d423-4b31-a24f-e0128d54f3f6}" ref="B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invest at right time (bear market)
</t>
      </text>
    </comment>
    <comment authorId="15" xr:uid="{4b890a7c-5773-4955-8335-ddeb8231c271}" ref="B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16" xr:uid="{4d71cb9e-d4e3-41d6-958d-15c9cf5798c1}" ref="B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17" xr:uid="{54b99023-32ef-427a-9373-2ce1f4f48ef0}" ref="B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park money for safety (volatile or too bullish market)
</t>
      </text>
    </comment>
    <comment authorId="18" xr:uid="{5aac40f2-383b-4816-8ae8-9de986002520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mistakenly purchased
</t>
      </text>
    </comment>
    <comment authorId="19" xr:uid="{5b33b387-f9c8-4648-a2f5-dbd742534720}" ref="B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20" xr:uid="{617bb368-a555-4f00-b26d-1586d77ca8b6}" ref="B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 LOSS (-5)
</t>
      </text>
    </comment>
    <comment authorId="21" xr:uid="{765b2679-bf4f-4cb5-8925-33bc9d21f665}" ref="B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22" xr:uid="{7ce4da03-ac06-4c9e-93be-5c292d2029fc}" ref="B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simplify investing and move more towards passive (index) investing
</t>
      </text>
    </comment>
    <comment authorId="23" xr:uid="{82b8a843-7edd-4f03-b386-516ba01164fb}" ref="B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park money for safety (volatile or too bullish market)
</t>
      </text>
    </comment>
    <comment authorId="24" xr:uid="{8881426b-322d-4823-a364-0e2d87a8ba6e}" ref="B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park money for safety (volatile or too bullish market)
</t>
      </text>
    </comment>
    <comment authorId="25" xr:uid="{8958db43-2708-4d00-879a-e6bc4d0d324c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 to buy at low, but forget and booked profit only
</t>
      </text>
    </comment>
    <comment authorId="26" xr:uid="{8b6e2b17-a7c4-426e-8c3f-e49c285a6b3b}" ref="B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27" xr:uid="{94f0bccf-c6ba-450d-b3be-8d2b9ce5fded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invest at right time (bear market)
Reply:
	partial profit (5400)
</t>
      </text>
    </comment>
    <comment authorId="28" xr:uid="{a066f799-060c-41e5-9310-79d61a0147ee}" ref="B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simplify investing and move more towards passive (index) investing
</t>
      </text>
    </comment>
    <comment authorId="29" xr:uid="{a9d81934-00e3-4b94-a959-6e8bdb366d61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invest at right time (bear market -8 to -10%)
Reply:
	partial profit (4563)
</t>
      </text>
    </comment>
    <comment authorId="30" xr:uid="{b363adee-2a4e-4df9-a38d-7b1c40fdacb5}" ref="B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31" xr:uid="{b3895503-204c-4297-b773-c0237e8c9230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32" xr:uid="{b43b0a2b-88ff-4f5d-8d4c-f674eefccab6}" ref="B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find more returns while increasing the risk (mid to small cap)
</t>
      </text>
    </comment>
    <comment authorId="33" xr:uid="{bcbf3a31-dbd6-4fc6-b0fe-2c43e9654523}" ref="B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find more returns while increasing the risk (corporate bond to liquid fund)
</t>
      </text>
    </comment>
    <comment authorId="34" xr:uid="{cdaeaaf9-67b5-4696-972f-51307358a913}" ref="B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35" xr:uid="{ce99d0bb-d97e-41e2-ab87-60037efe4bf1}" ref="B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36" xr:uid="{d364a1d7-4698-4a79-9c0e-75e8242d50ce}" ref="B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37" xr:uid="{dd97be50-91d7-4878-a0de-c129b4c0468c}" ref="B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park money for safety (volatile or too bullish market)
</t>
      </text>
    </comment>
    <comment authorId="38" xr:uid="{eb89e94f-fcae-472b-bdb0-37bd298dd789}" ref="B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invest at right time (bear market)
</t>
      </text>
    </comment>
    <comment authorId="39" xr:uid="{f0e5a5ff-2a35-4c0c-9db4-74925fda72ae}" ref="B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from profit booked
</t>
      </text>
    </comment>
    <comment authorId="40" xr:uid="{f7ab9dd5-cdc9-4f8e-8257-a3e7eeacc16a}" ref="B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invest at right time (bear market)
</t>
      </text>
    </comment>
    <comment authorId="41" xr:uid="{f8ee0691-2095-469a-aa82-82e688c70171}" ref="B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invest at right time (bear market)
</t>
      </text>
    </comment>
    <comment authorId="42" xr:uid="{fb98e147-7342-467c-8e00-d5164dd67fe4}" ref="B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find more returns while increasing the risk (more concentrated, S&amp;P 500 to NAS100)
</t>
      </text>
    </comment>
  </commentList>
</comments>
</file>

<file path=xl/sharedStrings.xml><?xml version="1.0" encoding="utf-8"?>
<sst xmlns="http://schemas.openxmlformats.org/spreadsheetml/2006/main" count="1719" uniqueCount="247">
  <si>
    <t>Difference</t>
  </si>
  <si>
    <t>MF + ETF PORTFOLIO XIRR</t>
  </si>
  <si>
    <t>NIFTY Return in the same period:</t>
  </si>
  <si>
    <t>DATES</t>
  </si>
  <si>
    <t>AMOUNT</t>
  </si>
  <si>
    <t>Cum Sum</t>
  </si>
  <si>
    <t>CRYPTO</t>
  </si>
  <si>
    <t>INVESTED</t>
  </si>
  <si>
    <t>BTC</t>
  </si>
  <si>
    <t>Portfolio Value</t>
  </si>
  <si>
    <t>ETH</t>
  </si>
  <si>
    <t>Returns</t>
  </si>
  <si>
    <t>Mutual Fund</t>
  </si>
  <si>
    <t>Invested Value</t>
  </si>
  <si>
    <t>Profit</t>
  </si>
  <si>
    <t>Today</t>
  </si>
  <si>
    <t>ETF</t>
  </si>
  <si>
    <t xml:space="preserve">Profit + Today </t>
  </si>
  <si>
    <t>TOTAL</t>
  </si>
  <si>
    <t>ABS RETURN</t>
  </si>
  <si>
    <t>Guideline to update sheet</t>
  </si>
  <si>
    <t>1) download mutual fund transation report (1) and mutual fund portfolio summary (2)</t>
  </si>
  <si>
    <t>2) copy the new entries from 1 and paste in transactions. add comments if the purchase is special or write the reason if redeemed or switched</t>
  </si>
  <si>
    <t>3) fill units, invested value from 2 to portfolio</t>
  </si>
  <si>
    <t>4) pick entries from transaction to put in respected MF CAS transaction history, then calculate xirr and put it in the holdings.</t>
  </si>
  <si>
    <t>5) add date and amount to portfolio to calculate net xirr</t>
  </si>
  <si>
    <t>6) update xirr without switch and mf+etf xirr calculations</t>
  </si>
  <si>
    <t>7) update and check for others in other cells, total fresh value invested, total invested, current portfolio value, diversification, cumsum chart, etc</t>
  </si>
  <si>
    <t>XIRR</t>
  </si>
  <si>
    <t>Personal Details</t>
  </si>
  <si>
    <t>Name</t>
  </si>
  <si>
    <t>Param Prakash</t>
  </si>
  <si>
    <t>Mobile Number</t>
  </si>
  <si>
    <t>PAN</t>
  </si>
  <si>
    <t>BCEPP5864L</t>
  </si>
  <si>
    <t>DATE</t>
  </si>
  <si>
    <t xml:space="preserve">TRANSACTIONS TILL </t>
  </si>
  <si>
    <t>XIRR  (WITHOUT SWITCH)</t>
  </si>
  <si>
    <t>Scheme Name</t>
  </si>
  <si>
    <t>Transaction Type</t>
  </si>
  <si>
    <t>Units</t>
  </si>
  <si>
    <t>NAV</t>
  </si>
  <si>
    <t>Amount</t>
  </si>
  <si>
    <t>Date</t>
  </si>
  <si>
    <t>Amount in/out</t>
  </si>
  <si>
    <t>Nippon India Nifty Midcap 150 Index Fund Direct Growth</t>
  </si>
  <si>
    <t>PURCHASE</t>
  </si>
  <si>
    <t>UTI Nifty200 Momentum 30 Index Fund Direct Growth</t>
  </si>
  <si>
    <t>HDFC Short Term Debt Fund Direct Plan Growth</t>
  </si>
  <si>
    <t>REDEEM</t>
  </si>
  <si>
    <t>MOTILAL OSWAL NASDAQ 100 FUND OF FUND - DIRECT GROWTH</t>
  </si>
  <si>
    <t>Total 4593 taken out here</t>
  </si>
  <si>
    <t>Total 35894(total redeemed - repurchased) - 14820(invested in  MOM100) = 21074 taken out here</t>
  </si>
  <si>
    <t>Axis Midcap Direct Plan Growth</t>
  </si>
  <si>
    <t>Axis Small Cap Fund Direct Growth</t>
  </si>
  <si>
    <t>Aditya Birla Sun Life PSU Equity Fund Direct Growth</t>
  </si>
  <si>
    <t>Axis Short Term Direct Fund Growth</t>
  </si>
  <si>
    <t>ICICI Prudential Liquid Fund Direct Plan Growth</t>
  </si>
  <si>
    <t>Tata Liquid Fund Direct Growth</t>
  </si>
  <si>
    <t>Parag Parikh Arbitrage Fund Direct Growth</t>
  </si>
  <si>
    <t>Motilal Oswal Liquid Fund Direct Growth</t>
  </si>
  <si>
    <t>SWITCH PURCHASE</t>
  </si>
  <si>
    <t>Motilal Oswal Nasdaq 100 FOF Direct Growth</t>
  </si>
  <si>
    <t>SWITCH REDEEM</t>
  </si>
  <si>
    <t>Parag Parikh Flexi Cap Fund Direct Growth</t>
  </si>
  <si>
    <t>Tata Digital India Fund Direct Growth</t>
  </si>
  <si>
    <t>ICICI Prudential S&amp;P BSE Sensex Index Fund Direct Growth</t>
  </si>
  <si>
    <t>1700 SIP Over (30 months)</t>
  </si>
  <si>
    <t>ICICI PRUDENTIAL SENSEX INDEX FUND DIRECT PLAN GROWTH</t>
  </si>
  <si>
    <t>Aditya Birla Sun Life Corporate Bond Fund Direct Growth</t>
  </si>
  <si>
    <t>Axis Midcap Fund - Direct - Growth</t>
  </si>
  <si>
    <t>ADITYA BIRLA SUN LIFE LIQUID FUND DIRECT PLAN - GROWTH</t>
  </si>
  <si>
    <t>ADITYA BIRLA SUN LIFE CORPORATE BOND FUND - GROWTH-DIRECT PLAN</t>
  </si>
  <si>
    <t>1000 SIP Over (9 months)</t>
  </si>
  <si>
    <t>MOTILAL OSWAL S&amp;P 500 INDEX FUND DIRECT GROWTH</t>
  </si>
  <si>
    <t>Aditya Birla Sun Life Liquid Fund Direct Growth</t>
  </si>
  <si>
    <t>Aditya Birla Sun Life Corporate Bond Fund - Direct - Growth</t>
  </si>
  <si>
    <t>Motilal Oswal S&amp;P 500 Index Fund Direct Growth</t>
  </si>
  <si>
    <t>Tata Digital India Fund - Direct - Growth</t>
  </si>
  <si>
    <t>ICICI Prudential Technology Fund - Direct - Growth</t>
  </si>
  <si>
    <t>Total value taken out (may not just profit)</t>
  </si>
  <si>
    <t>HOLDING SUMMARY</t>
  </si>
  <si>
    <t>Total Fresh Invested Value</t>
  </si>
  <si>
    <t>Amount Taken out (not just profit)</t>
  </si>
  <si>
    <t>Current Portfolio Value</t>
  </si>
  <si>
    <t>HOLDINGS AS ON :</t>
  </si>
  <si>
    <t>GOOGLE FINANCE CODE</t>
  </si>
  <si>
    <t>AMC</t>
  </si>
  <si>
    <t>Category</t>
  </si>
  <si>
    <t>Sub-category</t>
  </si>
  <si>
    <t>Folio(s) No.</t>
  </si>
  <si>
    <t>Source</t>
  </si>
  <si>
    <t>Current Value</t>
  </si>
  <si>
    <t>MUTF_IN:NIPP_INDI_NIFT_1E6U8CW</t>
  </si>
  <si>
    <t>Nippon India Mutual Fund</t>
  </si>
  <si>
    <t>Equity</t>
  </si>
  <si>
    <t>Mid Cap</t>
  </si>
  <si>
    <t>477349321517, 488435806916</t>
  </si>
  <si>
    <t>Groww</t>
  </si>
  <si>
    <t>MUTF_IN:UTI_NIFT_MOME_1J4FLXM</t>
  </si>
  <si>
    <t>UTI Mutual Fund</t>
  </si>
  <si>
    <t>Large &amp; MidCap</t>
  </si>
  <si>
    <t>MUTF_IN:MOTI_OSWA_NASD_1NOTJ6L</t>
  </si>
  <si>
    <t>Motilal Oswal Mutual Fund</t>
  </si>
  <si>
    <t>International</t>
  </si>
  <si>
    <t>MUTF_IN:HDFC_ST_DEBT_TVWBP5</t>
  </si>
  <si>
    <t>HDFC Mutual Fund</t>
  </si>
  <si>
    <t>Debt</t>
  </si>
  <si>
    <t>Short Duration</t>
  </si>
  <si>
    <t>DIVERSIFICATION</t>
  </si>
  <si>
    <t>actual</t>
  </si>
  <si>
    <t>reqired</t>
  </si>
  <si>
    <t>difference</t>
  </si>
  <si>
    <t>Large + Mid cap</t>
  </si>
  <si>
    <t>REQUIRED DIVERSIFICATION</t>
  </si>
  <si>
    <t>ACTUAL DIVERSIFICATION</t>
  </si>
  <si>
    <t/>
  </si>
  <si>
    <t>265.72</t>
  </si>
  <si>
    <t>14.41</t>
  </si>
  <si>
    <t>3,830</t>
  </si>
  <si>
    <t>29 Jun 2021</t>
  </si>
  <si>
    <t>3,830 2</t>
  </si>
  <si>
    <t>Unique Client Code</t>
  </si>
  <si>
    <t>Stocks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</si>
  <si>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</si>
  <si>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</si>
  <si>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</si>
  <si>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</si>
  <si>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</si>
  <si>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</si>
  <si>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</si>
  <si>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</si>
  <si>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</si>
  <si>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UN/Realised P&amp;L</t>
  </si>
  <si>
    <t>FEDERAL BANK LTD</t>
  </si>
  <si>
    <t>INE171A01029</t>
  </si>
  <si>
    <t>VODAFONE IDEA LIMITED</t>
  </si>
  <si>
    <t>INE669E01016</t>
  </si>
  <si>
    <t>ITC LTD</t>
  </si>
  <si>
    <t>INE154A01025</t>
  </si>
  <si>
    <t>TATA MOTORS LIMITED</t>
  </si>
  <si>
    <t>INE155A01022</t>
  </si>
  <si>
    <t>SPICEJET LTD.</t>
  </si>
  <si>
    <t>INE285B01017</t>
  </si>
  <si>
    <t>YES BANK LIMITED</t>
  </si>
  <si>
    <t>INE528G01035</t>
  </si>
  <si>
    <t>VISA STEEL LIMITED</t>
  </si>
  <si>
    <t>INE286H01012</t>
  </si>
  <si>
    <t>GTL INFRA.LTD</t>
  </si>
  <si>
    <t>INE221H01019</t>
  </si>
  <si>
    <t>PAZEL</t>
  </si>
  <si>
    <t>INE040N01029</t>
  </si>
  <si>
    <t>ZEE ENTERTAINMENT ENT LTD</t>
  </si>
  <si>
    <t>INE256A01028</t>
  </si>
  <si>
    <t>Abs Returns</t>
  </si>
  <si>
    <t>MOTILAL OS NASDAQ100 ETF</t>
  </si>
  <si>
    <t>INF247L01AP3</t>
  </si>
  <si>
    <t>Returns till now</t>
  </si>
  <si>
    <t>in percentage</t>
  </si>
  <si>
    <t>INF247L01AP4</t>
  </si>
  <si>
    <t>INF247L01AP5</t>
  </si>
  <si>
    <t>INF247L01AP6</t>
  </si>
  <si>
    <t>INF247L01AP7</t>
  </si>
  <si>
    <t>TOTAL (current)</t>
  </si>
  <si>
    <t>MOTILAL OS NASDAQ100 ETF XIRR CALCULATION</t>
  </si>
  <si>
    <t>MOTILAL OS NAS100 NET XIRR CALCULATION</t>
  </si>
  <si>
    <t>Dates</t>
  </si>
  <si>
    <t xml:space="preserve">Abs Returns </t>
  </si>
  <si>
    <t>Schedule VDA Report And Capital Gains Transaction</t>
  </si>
  <si>
    <t>SI no</t>
  </si>
  <si>
    <t>Particulars / Aseset</t>
  </si>
  <si>
    <t>Price</t>
  </si>
  <si>
    <t>Date of acquisition/Purchase</t>
  </si>
  <si>
    <t>Date of transfer / Sold</t>
  </si>
  <si>
    <t>Head of income</t>
  </si>
  <si>
    <t>Cost of acquisition(round off) / Purchase Value *</t>
  </si>
  <si>
    <t>Consideration received (round off) / Sale Value</t>
  </si>
  <si>
    <t>Income from VDA / Gain or losses</t>
  </si>
  <si>
    <t>Capital Gains</t>
  </si>
  <si>
    <t>WRX</t>
  </si>
  <si>
    <t>* Note: Cost of acquisition / Purchase Value excludes brokerage and other fees.</t>
  </si>
  <si>
    <t xml:space="preserve">Brokerage fee </t>
  </si>
  <si>
    <t>₹48.31</t>
  </si>
  <si>
    <t xml:space="preserve">TDS Deducted </t>
  </si>
  <si>
    <t>₹74.48</t>
  </si>
  <si>
    <t>Current Price</t>
  </si>
  <si>
    <t>Invested value</t>
  </si>
  <si>
    <t>Current value</t>
  </si>
  <si>
    <t>Return</t>
  </si>
  <si>
    <t>Open Positions</t>
  </si>
  <si>
    <t>Days</t>
  </si>
  <si>
    <t>CAGR Calculation</t>
  </si>
  <si>
    <t>S. No.</t>
  </si>
  <si>
    <t>Stock</t>
  </si>
  <si>
    <t>Buy Date</t>
  </si>
  <si>
    <t>Buy Price</t>
  </si>
  <si>
    <t>Qty</t>
  </si>
  <si>
    <t>Buy Value</t>
  </si>
  <si>
    <t>CMP</t>
  </si>
  <si>
    <t>% Gain</t>
  </si>
  <si>
    <t>Strategy Name</t>
  </si>
  <si>
    <t>Target Price</t>
  </si>
  <si>
    <t>Total Potential Gain</t>
  </si>
  <si>
    <t>Remaining Gain</t>
  </si>
  <si>
    <t>Target Value</t>
  </si>
  <si>
    <t>1 Year Return</t>
  </si>
  <si>
    <t>MUTHOOTCAP</t>
  </si>
  <si>
    <t>RH&amp;S</t>
  </si>
  <si>
    <t>Investment</t>
  </si>
  <si>
    <t>HDFCBANK</t>
  </si>
  <si>
    <t>AARTIDRUGS</t>
  </si>
  <si>
    <t>HEROMOTOCO</t>
  </si>
  <si>
    <t>ARE&amp;M</t>
  </si>
  <si>
    <t>WHIRLPOOL</t>
  </si>
  <si>
    <t>CWH</t>
  </si>
  <si>
    <t>Net Value as on</t>
  </si>
  <si>
    <t>MOTILALOFS</t>
  </si>
  <si>
    <t>EICHERMOT</t>
  </si>
  <si>
    <t>COLPAL</t>
  </si>
  <si>
    <t>Total</t>
  </si>
  <si>
    <t>CAGR</t>
  </si>
  <si>
    <t>Unrealised Gain</t>
  </si>
  <si>
    <t>Closed Positions</t>
  </si>
  <si>
    <t>Buy Rate</t>
  </si>
  <si>
    <t>Sell Date</t>
  </si>
  <si>
    <t>Sell Price</t>
  </si>
  <si>
    <t>Sell Value</t>
  </si>
  <si>
    <t>Gain</t>
  </si>
  <si>
    <t>% Annual Gain</t>
  </si>
  <si>
    <t>KOTAKBANK</t>
  </si>
  <si>
    <t>AkzoINDIA</t>
  </si>
  <si>
    <t>BajajHldng</t>
  </si>
  <si>
    <t>BajajFinsv</t>
  </si>
  <si>
    <t>ICICIGI</t>
  </si>
  <si>
    <t>Page</t>
  </si>
  <si>
    <t>Symphony</t>
  </si>
  <si>
    <t>Tastybite</t>
  </si>
  <si>
    <t>JCHAC</t>
  </si>
  <si>
    <t>PGHH</t>
  </si>
  <si>
    <t>CentralBK</t>
  </si>
  <si>
    <t>Bata</t>
  </si>
  <si>
    <t>GMMPFAUDLR</t>
  </si>
  <si>
    <t>HINDUNILVR</t>
  </si>
  <si>
    <t>ISEC</t>
  </si>
  <si>
    <t>FINEORG</t>
  </si>
  <si>
    <t>VENKEYS</t>
  </si>
  <si>
    <t>Realised 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</si>
</sst>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0.0"/>
    <numFmt numFmtId="166" formatCode="dd-mm-yyyy"/>
    <numFmt numFmtId="167" formatCode="d-m-yyyy"/>
    <numFmt numFmtId="168" formatCode="d mmm yyyy"/>
    <numFmt numFmtId="169" formatCode="dd/mm/yyyy"/>
    <numFmt numFmtId="170" formatCode="d/m/yyyy"/>
    <numFmt numFmtId="171" formatCode="dd mmm yyyy"/>
    <numFmt numFmtId="172" formatCode="d mmmm yyyy"/>
    <numFmt numFmtId="173" formatCode="dd-mm-yyyy hh:mm"/>
    <numFmt numFmtId="174" formatCode="d-m-yyyy hh:mm"/>
    <numFmt numFmtId="175" formatCode="d-mmm-yy"/>
    <numFmt numFmtId="176" formatCode="d-mmmm-yy"/>
    <numFmt numFmtId="177" formatCode="d mmmm yy"/>
  </numFmts>
  <fonts count="28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/>
    <font>
      <b/>
      <sz val="12.0"/>
      <color rgb="FFFFFFFF"/>
      <name val="Arial"/>
      <scheme val="minor"/>
    </font>
    <font>
      <color rgb="FFB7B7B7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sz val="9.0"/>
      <color rgb="FF000000"/>
      <name val="&quot;Google Sans Mono&quot;"/>
    </font>
    <font>
      <b/>
      <sz val="14.0"/>
      <color rgb="FFFFFFFF"/>
      <name val="Calibri"/>
    </font>
    <font>
      <b/>
      <sz val="11.0"/>
      <color rgb="FF000000"/>
      <name val="Calibri"/>
    </font>
    <font>
      <color theme="1"/>
      <name val="Calibri"/>
    </font>
    <font>
      <color rgb="FF000000"/>
      <name val="Calibri"/>
    </font>
    <font>
      <color rgb="FF000000"/>
      <name val="Arial"/>
    </font>
    <font>
      <sz val="13.0"/>
      <color rgb="FFFF6600"/>
      <name val="Inherit"/>
    </font>
    <font>
      <b/>
      <sz val="15.0"/>
      <color theme="1"/>
      <name val="Calibri"/>
    </font>
    <font>
      <color theme="1"/>
      <name val="Arial"/>
    </font>
    <font>
      <b/>
      <color theme="1"/>
      <name val="Verdana"/>
    </font>
    <font>
      <b/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sz val="11.0"/>
      <color rgb="FF1F1F1F"/>
      <name val="&quot;Google Sans&quot;"/>
    </font>
    <font>
      <b/>
      <color theme="1"/>
      <name val="Merriweather"/>
    </font>
    <font>
      <sz val="9.0"/>
      <color rgb="FF1F1F1F"/>
      <name val="&quot;Google Sans&quot;"/>
    </font>
    <font>
      <b/>
      <sz val="11.0"/>
      <color theme="1"/>
      <name val="Arial"/>
    </font>
    <font>
      <sz val="11.0"/>
      <color theme="1"/>
      <name val="Arial"/>
    </font>
    <font>
      <sz val="9.0"/>
      <color rgb="FF777777"/>
      <name val="&quot;Google Sans Mono&quot;"/>
    </font>
  </fonts>
  <fills count="3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theme="7"/>
        <bgColor theme="7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rgb="FFA64D79"/>
        <bgColor rgb="FFA64D79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008768"/>
        <bgColor rgb="FF00876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6D01"/>
        <bgColor rgb="FFFF6D01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0" fillId="4" fontId="4" numFmtId="10" xfId="0" applyFill="1" applyFont="1" applyNumberFormat="1"/>
    <xf borderId="0" fillId="0" fontId="5" numFmtId="0" xfId="0" applyFont="1"/>
    <xf borderId="3" fillId="3" fontId="2" numFmtId="0" xfId="0" applyAlignment="1" applyBorder="1" applyFont="1">
      <alignment horizontal="left"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7" numFmtId="0" xfId="0" applyFont="1"/>
    <xf borderId="0" fillId="0" fontId="7" numFmtId="164" xfId="0" applyFont="1" applyNumberFormat="1"/>
    <xf borderId="0" fillId="0" fontId="7" numFmtId="14" xfId="0" applyFont="1" applyNumberFormat="1"/>
    <xf borderId="0" fillId="5" fontId="7" numFmtId="0" xfId="0" applyAlignment="1" applyFill="1" applyFont="1">
      <alignment readingOrder="0"/>
    </xf>
    <xf borderId="0" fillId="6" fontId="7" numFmtId="0" xfId="0" applyFill="1" applyFont="1"/>
    <xf borderId="0" fillId="7" fontId="7" numFmtId="0" xfId="0" applyFill="1" applyFont="1"/>
    <xf borderId="0" fillId="8" fontId="5" numFmtId="0" xfId="0" applyFill="1" applyFont="1"/>
    <xf borderId="0" fillId="8" fontId="5" numFmtId="10" xfId="0" applyFont="1" applyNumberFormat="1"/>
    <xf borderId="0" fillId="0" fontId="7" numFmtId="0" xfId="0" applyFont="1"/>
    <xf borderId="0" fillId="0" fontId="7" numFmtId="165" xfId="0" applyFont="1" applyNumberFormat="1"/>
    <xf borderId="0" fillId="0" fontId="7" numFmtId="10" xfId="0" applyFont="1" applyNumberFormat="1"/>
    <xf borderId="0" fillId="9" fontId="7" numFmtId="0" xfId="0" applyFill="1" applyFont="1"/>
    <xf borderId="0" fillId="9" fontId="7" numFmtId="165" xfId="0" applyFont="1" applyNumberFormat="1"/>
    <xf borderId="0" fillId="9" fontId="7" numFmtId="0" xfId="0" applyFont="1"/>
    <xf borderId="0" fillId="9" fontId="7" numFmtId="10" xfId="0" applyFont="1" applyNumberFormat="1"/>
    <xf borderId="0" fillId="0" fontId="7" numFmtId="166" xfId="0" applyFont="1" applyNumberFormat="1"/>
    <xf borderId="0" fillId="0" fontId="7" numFmtId="167" xfId="0" applyFont="1" applyNumberFormat="1"/>
    <xf borderId="0" fillId="0" fontId="7" numFmtId="3" xfId="0" applyFont="1" applyNumberFormat="1"/>
    <xf borderId="0" fillId="10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6" numFmtId="166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readingOrder="0"/>
    </xf>
    <xf borderId="0" fillId="0" fontId="8" numFmtId="164" xfId="0" applyAlignment="1" applyFont="1" applyNumberFormat="1">
      <alignment horizontal="right" readingOrder="0" vertical="bottom"/>
    </xf>
    <xf borderId="0" fillId="0" fontId="7" numFmtId="168" xfId="0" applyFont="1" applyNumberFormat="1"/>
    <xf borderId="0" fillId="0" fontId="7" numFmtId="168" xfId="0" applyAlignment="1" applyFont="1" applyNumberFormat="1">
      <alignment readingOrder="0"/>
    </xf>
    <xf borderId="0" fillId="0" fontId="6" numFmtId="169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169" xfId="0" applyFont="1" applyNumberFormat="1"/>
    <xf borderId="0" fillId="0" fontId="6" numFmtId="170" xfId="0" applyAlignment="1" applyFont="1" applyNumberFormat="1">
      <alignment readingOrder="0" shrinkToFit="0" vertical="bottom" wrapText="0"/>
    </xf>
    <xf borderId="0" fillId="0" fontId="7" numFmtId="170" xfId="0" applyFont="1" applyNumberFormat="1"/>
    <xf borderId="0" fillId="7" fontId="6" numFmtId="164" xfId="0" applyAlignment="1" applyFont="1" applyNumberFormat="1">
      <alignment readingOrder="0" shrinkToFit="0" vertical="bottom" wrapText="0"/>
    </xf>
    <xf borderId="0" fillId="9" fontId="6" numFmtId="0" xfId="0" applyAlignment="1" applyFont="1">
      <alignment readingOrder="0" shrinkToFit="0" vertical="bottom" wrapText="0"/>
    </xf>
    <xf borderId="0" fillId="7" fontId="7" numFmtId="164" xfId="0" applyFont="1" applyNumberFormat="1"/>
    <xf borderId="0" fillId="9" fontId="8" numFmtId="165" xfId="0" applyAlignment="1" applyFont="1" applyNumberFormat="1">
      <alignment horizontal="right" vertical="bottom"/>
    </xf>
    <xf borderId="2" fillId="3" fontId="2" numFmtId="0" xfId="0" applyAlignment="1" applyBorder="1" applyFont="1">
      <alignment horizontal="left" readingOrder="0" shrinkToFit="0" vertical="bottom" wrapText="0"/>
    </xf>
    <xf borderId="0" fillId="11" fontId="9" numFmtId="10" xfId="0" applyFill="1" applyFont="1" applyNumberForma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12" fontId="7" numFmtId="0" xfId="0" applyFill="1" applyFont="1"/>
    <xf borderId="2" fillId="13" fontId="10" numFmtId="0" xfId="0" applyAlignment="1" applyBorder="1" applyFill="1" applyFont="1">
      <alignment horizontal="left" readingOrder="0" shrinkToFit="0" vertical="bottom" wrapText="0"/>
    </xf>
    <xf borderId="3" fillId="14" fontId="2" numFmtId="0" xfId="0" applyAlignment="1" applyBorder="1" applyFill="1" applyFont="1">
      <alignment horizontal="left" readingOrder="0" shrinkToFit="0" vertical="bottom" wrapText="0"/>
    </xf>
    <xf borderId="2" fillId="15" fontId="2" numFmtId="0" xfId="0" applyAlignment="1" applyBorder="1" applyFill="1" applyFont="1">
      <alignment horizontal="center" readingOrder="0" shrinkToFit="0" vertical="bottom" wrapText="0"/>
    </xf>
    <xf borderId="4" fillId="14" fontId="2" numFmtId="0" xfId="0" applyAlignment="1" applyBorder="1" applyFont="1">
      <alignment horizontal="left" readingOrder="0" shrinkToFit="0" vertical="bottom" wrapText="0"/>
    </xf>
    <xf borderId="5" fillId="15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2" fillId="0" fontId="11" numFmtId="14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1" fillId="3" fontId="2" numFmtId="0" xfId="0" applyAlignment="1" applyBorder="1" applyFont="1">
      <alignment horizontal="left" readingOrder="0" shrinkToFit="0" vertical="bottom" wrapText="0"/>
    </xf>
    <xf borderId="0" fillId="12" fontId="7" numFmtId="0" xfId="0" applyAlignment="1" applyFont="1">
      <alignment horizontal="center" readingOrder="0"/>
    </xf>
    <xf borderId="2" fillId="3" fontId="2" numFmtId="0" xfId="0" applyAlignment="1" applyBorder="1" applyFont="1">
      <alignment horizontal="center" readingOrder="0" shrinkToFit="0" vertical="bottom" wrapText="0"/>
    </xf>
    <xf borderId="0" fillId="8" fontId="7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3" xfId="0" applyAlignment="1" applyFont="1" applyNumberFormat="1">
      <alignment readingOrder="0" shrinkToFit="0" vertical="bottom" wrapText="0"/>
    </xf>
    <xf borderId="0" fillId="0" fontId="6" numFmtId="168" xfId="0" applyAlignment="1" applyFont="1" applyNumberFormat="1">
      <alignment readingOrder="0" shrinkToFit="0" vertical="bottom" wrapText="0"/>
    </xf>
    <xf borderId="0" fillId="0" fontId="12" numFmtId="0" xfId="0" applyFont="1"/>
    <xf borderId="0" fillId="0" fontId="12" numFmtId="0" xfId="0" applyFont="1"/>
    <xf borderId="6" fillId="16" fontId="8" numFmtId="0" xfId="0" applyAlignment="1" applyBorder="1" applyFill="1" applyFont="1">
      <alignment horizontal="right" shrinkToFit="0" vertical="bottom" wrapText="0"/>
    </xf>
    <xf borderId="6" fillId="16" fontId="8" numFmtId="3" xfId="0" applyAlignment="1" applyBorder="1" applyFont="1" applyNumberFormat="1">
      <alignment horizontal="right" shrinkToFit="0" vertical="bottom" wrapText="0"/>
    </xf>
    <xf borderId="6" fillId="16" fontId="8" numFmtId="168" xfId="0" applyAlignment="1" applyBorder="1" applyFont="1" applyNumberFormat="1">
      <alignment horizontal="right" shrinkToFit="0" vertical="bottom" wrapText="0"/>
    </xf>
    <xf borderId="0" fillId="0" fontId="13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3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17" fontId="7" numFmtId="0" xfId="0" applyFill="1" applyFont="1"/>
    <xf borderId="0" fillId="0" fontId="7" numFmtId="0" xfId="0" applyAlignment="1" applyFont="1">
      <alignment readingOrder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7" numFmtId="3" xfId="0" applyAlignment="1" applyFont="1" applyNumberFormat="1">
      <alignment readingOrder="0"/>
    </xf>
    <xf borderId="0" fillId="0" fontId="8" numFmtId="0" xfId="0" applyAlignment="1" applyFont="1">
      <alignment horizontal="right" readingOrder="0" vertical="bottom"/>
    </xf>
    <xf borderId="0" fillId="0" fontId="8" numFmtId="3" xfId="0" applyAlignment="1" applyFont="1" applyNumberFormat="1">
      <alignment horizontal="right" readingOrder="0" vertical="bottom"/>
    </xf>
    <xf borderId="0" fillId="0" fontId="8" numFmtId="168" xfId="0" applyAlignment="1" applyFont="1" applyNumberFormat="1">
      <alignment horizontal="right" readingOrder="0" vertical="bottom"/>
    </xf>
    <xf borderId="0" fillId="0" fontId="8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168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71" xfId="0" applyAlignment="1" applyFont="1" applyNumberFormat="1">
      <alignment shrinkToFit="0" vertical="bottom" wrapText="0"/>
    </xf>
    <xf borderId="0" fillId="0" fontId="7" numFmtId="171" xfId="0" applyFont="1" applyNumberFormat="1"/>
    <xf borderId="0" fillId="0" fontId="6" numFmtId="0" xfId="0" applyAlignment="1" applyFont="1">
      <alignment shrinkToFit="0" vertical="bottom" wrapText="0"/>
    </xf>
    <xf borderId="0" fillId="0" fontId="6" numFmtId="172" xfId="0" applyAlignment="1" applyFont="1" applyNumberFormat="1">
      <alignment readingOrder="0" shrinkToFit="0" vertical="bottom" wrapText="0"/>
    </xf>
    <xf borderId="0" fillId="0" fontId="7" numFmtId="172" xfId="0" applyFont="1" applyNumberFormat="1"/>
    <xf borderId="0" fillId="18" fontId="6" numFmtId="3" xfId="0" applyAlignment="1" applyFill="1" applyFont="1" applyNumberFormat="1">
      <alignment readingOrder="0" shrinkToFit="0" vertical="bottom" wrapText="0"/>
    </xf>
    <xf borderId="0" fillId="0" fontId="6" numFmtId="171" xfId="0" applyAlignment="1" applyFont="1" applyNumberFormat="1">
      <alignment readingOrder="0" shrinkToFit="0" vertical="bottom" wrapText="0"/>
    </xf>
    <xf borderId="0" fillId="19" fontId="6" numFmtId="3" xfId="0" applyAlignment="1" applyFill="1" applyFont="1" applyNumberFormat="1">
      <alignment readingOrder="0" shrinkToFit="0" vertical="bottom" wrapText="0"/>
    </xf>
    <xf borderId="0" fillId="10" fontId="6" numFmtId="3" xfId="0" applyAlignment="1" applyFont="1" applyNumberFormat="1">
      <alignment readingOrder="0" shrinkToFit="0" vertical="bottom" wrapText="0"/>
    </xf>
    <xf borderId="0" fillId="7" fontId="7" numFmtId="165" xfId="0" applyFont="1" applyNumberFormat="1"/>
    <xf borderId="0" fillId="0" fontId="7" numFmtId="4" xfId="0" applyFont="1" applyNumberFormat="1"/>
    <xf borderId="0" fillId="13" fontId="7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20" fontId="7" numFmtId="14" xfId="0" applyFill="1" applyFont="1" applyNumberFormat="1"/>
    <xf borderId="0" fillId="20" fontId="8" numFmtId="165" xfId="0" applyAlignment="1" applyFont="1" applyNumberFormat="1">
      <alignment horizontal="right" vertical="bottom"/>
    </xf>
    <xf borderId="0" fillId="12" fontId="7" numFmtId="0" xfId="0" applyAlignment="1" applyFont="1">
      <alignment horizontal="center"/>
    </xf>
    <xf borderId="0" fillId="12" fontId="7" numFmtId="164" xfId="0" applyFont="1" applyNumberFormat="1"/>
    <xf borderId="0" fillId="17" fontId="15" numFmtId="0" xfId="0" applyFont="1"/>
    <xf borderId="0" fillId="17" fontId="7" numFmtId="0" xfId="0" applyFont="1"/>
    <xf borderId="0" fillId="0" fontId="16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7" numFmtId="164" xfId="0" applyAlignment="1" applyFont="1" applyNumberFormat="1">
      <alignment vertical="bottom"/>
    </xf>
    <xf borderId="0" fillId="12" fontId="17" numFmtId="0" xfId="0" applyAlignment="1" applyFont="1">
      <alignment vertical="bottom"/>
    </xf>
    <xf borderId="2" fillId="21" fontId="2" numFmtId="0" xfId="0" applyAlignment="1" applyBorder="1" applyFill="1" applyFont="1">
      <alignment readingOrder="0" vertical="bottom"/>
    </xf>
    <xf borderId="2" fillId="21" fontId="2" numFmtId="0" xfId="0" applyAlignment="1" applyBorder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17" numFmtId="10" xfId="0" applyAlignment="1" applyFont="1" applyNumberFormat="1">
      <alignment vertical="bottom"/>
    </xf>
    <xf borderId="0" fillId="0" fontId="18" numFmtId="14" xfId="0" applyAlignment="1" applyFont="1" applyNumberFormat="1">
      <alignment horizontal="right" vertical="bottom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165" xfId="0" applyAlignment="1" applyFont="1" applyNumberFormat="1">
      <alignment shrinkToFit="0" vertical="bottom" wrapText="0"/>
    </xf>
    <xf borderId="0" fillId="0" fontId="17" numFmtId="10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0" fontId="17" numFmtId="4" xfId="0" applyAlignment="1" applyFont="1" applyNumberFormat="1">
      <alignment vertical="bottom"/>
    </xf>
    <xf borderId="0" fillId="2" fontId="7" numFmtId="0" xfId="0" applyAlignment="1" applyFont="1">
      <alignment readingOrder="0"/>
    </xf>
    <xf borderId="0" fillId="8" fontId="20" numFmtId="0" xfId="0" applyAlignment="1" applyFont="1">
      <alignment horizontal="center" readingOrder="0" vertical="bottom"/>
    </xf>
    <xf borderId="0" fillId="8" fontId="20" numFmtId="0" xfId="0" applyAlignment="1" applyFont="1">
      <alignment readingOrder="0" vertical="bottom"/>
    </xf>
    <xf borderId="0" fillId="0" fontId="7" numFmtId="10" xfId="0" applyAlignment="1" applyFont="1" applyNumberFormat="1">
      <alignment horizontal="center"/>
    </xf>
    <xf borderId="0" fillId="0" fontId="7" numFmtId="9" xfId="0" applyAlignment="1" applyFont="1" applyNumberFormat="1">
      <alignment readingOrder="0"/>
    </xf>
    <xf borderId="0" fillId="12" fontId="17" numFmtId="164" xfId="0" applyAlignment="1" applyFont="1" applyNumberFormat="1">
      <alignment vertical="bottom"/>
    </xf>
    <xf borderId="0" fillId="11" fontId="21" numFmtId="0" xfId="0" applyAlignment="1" applyFont="1">
      <alignment horizontal="center" readingOrder="0"/>
    </xf>
    <xf borderId="0" fillId="0" fontId="7" numFmtId="10" xfId="0" applyAlignment="1" applyFont="1" applyNumberFormat="1">
      <alignment readingOrder="0"/>
    </xf>
    <xf borderId="0" fillId="0" fontId="6" numFmtId="10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8" numFmtId="168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171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17" fontId="9" numFmtId="0" xfId="0" applyFont="1"/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7" numFmtId="168" xfId="0" applyAlignment="1" applyFont="1" applyNumberFormat="1">
      <alignment shrinkToFit="0" vertical="center" wrapText="0"/>
    </xf>
    <xf borderId="0" fillId="22" fontId="7" numFmtId="0" xfId="0" applyAlignment="1" applyFill="1" applyFont="1">
      <alignment readingOrder="0" shrinkToFit="0" vertical="center" wrapText="0"/>
    </xf>
    <xf borderId="0" fillId="22" fontId="7" numFmtId="0" xfId="0" applyAlignment="1" applyFont="1">
      <alignment shrinkToFit="0" vertical="center" wrapText="0"/>
    </xf>
    <xf borderId="0" fillId="22" fontId="7" numFmtId="14" xfId="0" applyAlignment="1" applyFont="1" applyNumberFormat="1">
      <alignment shrinkToFit="0" vertical="center" wrapText="0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7" numFmtId="14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6" numFmtId="3" xfId="0" applyAlignment="1" applyFont="1" applyNumberForma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22" fontId="7" numFmtId="164" xfId="0" applyAlignment="1" applyFont="1" applyNumberFormat="1">
      <alignment shrinkToFit="0" vertical="center" wrapText="0"/>
    </xf>
    <xf borderId="0" fillId="22" fontId="7" numFmtId="165" xfId="0" applyAlignment="1" applyFont="1" applyNumberFormat="1">
      <alignment shrinkToFit="0" vertical="center" wrapText="0"/>
    </xf>
    <xf borderId="0" fillId="0" fontId="8" numFmtId="3" xfId="0" applyAlignment="1" applyFont="1" applyNumberFormat="1">
      <alignment shrinkToFit="0" vertical="bottom" wrapText="0"/>
    </xf>
    <xf borderId="0" fillId="0" fontId="8" numFmtId="168" xfId="0" applyAlignment="1" applyFont="1" applyNumberFormat="1">
      <alignment shrinkToFit="0" vertical="bottom" wrapText="0"/>
    </xf>
    <xf borderId="0" fillId="22" fontId="7" numFmtId="3" xfId="0" applyAlignment="1" applyFont="1" applyNumberFormat="1">
      <alignment shrinkToFit="0" vertical="center" wrapText="0"/>
    </xf>
    <xf borderId="0" fillId="22" fontId="7" numFmtId="168" xfId="0" applyAlignment="1" applyFont="1" applyNumberForma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3" xfId="0" applyAlignment="1" applyFont="1" applyNumberFormat="1">
      <alignment horizontal="left" readingOrder="0" shrinkToFit="0" vertical="center" wrapText="0"/>
    </xf>
    <xf borderId="0" fillId="0" fontId="7" numFmtId="168" xfId="0" applyAlignment="1" applyFont="1" applyNumberFormat="1">
      <alignment horizontal="left"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12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6" numFmtId="168" xfId="0" applyAlignment="1" applyFont="1" applyNumberFormat="1">
      <alignment readingOrder="0" shrinkToFit="0" vertical="bottom" wrapText="0"/>
    </xf>
    <xf borderId="0" fillId="0" fontId="8" numFmtId="171" xfId="0" applyAlignment="1" applyFont="1" applyNumberFormat="1">
      <alignment horizontal="right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2" fillId="21" fontId="2" numFmtId="0" xfId="0" applyAlignment="1" applyBorder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8" numFmtId="168" xfId="0" applyAlignment="1" applyFont="1" applyNumberFormat="1">
      <alignment readingOrder="0" shrinkToFit="0" vertical="bottom" wrapText="0"/>
    </xf>
    <xf borderId="0" fillId="0" fontId="12" numFmtId="0" xfId="0" applyAlignment="1" applyFont="1">
      <alignment shrinkToFit="0" vertical="center" wrapText="0"/>
    </xf>
    <xf borderId="0" fillId="0" fontId="6" numFmtId="168" xfId="0" applyAlignment="1" applyFont="1" applyNumberFormat="1">
      <alignment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11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7" xfId="0" applyAlignment="1" applyFont="1" applyNumberFormat="1">
      <alignment readingOrder="0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0" fillId="0" fontId="7" numFmtId="166" xfId="0" applyAlignment="1" applyFont="1" applyNumberFormat="1">
      <alignment readingOrder="0" shrinkToFit="0" vertical="center" wrapText="0"/>
    </xf>
    <xf borderId="0" fillId="22" fontId="19" numFmtId="0" xfId="0" applyAlignment="1" applyFont="1">
      <alignment shrinkToFit="0" vertical="bottom" wrapText="0"/>
    </xf>
    <xf borderId="0" fillId="10" fontId="17" numFmtId="0" xfId="0" applyAlignment="1" applyFont="1">
      <alignment shrinkToFit="0" vertical="bottom" wrapText="0"/>
    </xf>
    <xf borderId="0" fillId="10" fontId="17" numFmtId="166" xfId="0" applyAlignment="1" applyFont="1" applyNumberFormat="1">
      <alignment shrinkToFit="0" vertical="bottom" wrapText="0"/>
    </xf>
    <xf borderId="0" fillId="10" fontId="8" numFmtId="0" xfId="0" applyAlignment="1" applyFont="1">
      <alignment horizontal="right" shrinkToFit="0" vertical="bottom" wrapText="0"/>
    </xf>
    <xf borderId="0" fillId="10" fontId="17" numFmtId="167" xfId="0" applyAlignment="1" applyFont="1" applyNumberFormat="1">
      <alignment shrinkToFit="0" vertical="bottom" wrapText="0"/>
    </xf>
    <xf borderId="0" fillId="0" fontId="17" numFmtId="0" xfId="0" applyAlignment="1" applyFont="1">
      <alignment vertical="bottom"/>
    </xf>
    <xf borderId="0" fillId="0" fontId="17" numFmtId="166" xfId="0" applyAlignment="1" applyFont="1" applyNumberFormat="1">
      <alignment vertical="bottom"/>
    </xf>
    <xf borderId="0" fillId="0" fontId="17" numFmtId="167" xfId="0" applyAlignment="1" applyFont="1" applyNumberFormat="1">
      <alignment vertical="bottom"/>
    </xf>
    <xf borderId="0" fillId="10" fontId="6" numFmtId="0" xfId="0" applyAlignment="1" applyFont="1">
      <alignment readingOrder="0" shrinkToFit="0" vertical="bottom" wrapText="0"/>
    </xf>
    <xf borderId="0" fillId="11" fontId="8" numFmtId="10" xfId="0" applyAlignment="1" applyFont="1" applyNumberFormat="1">
      <alignment horizontal="right" vertical="bottom"/>
    </xf>
    <xf borderId="0" fillId="0" fontId="19" numFmtId="0" xfId="0" applyAlignment="1" applyFont="1">
      <alignment readingOrder="0" shrinkToFit="0" vertical="bottom" wrapText="0"/>
    </xf>
    <xf borderId="0" fillId="0" fontId="6" numFmtId="167" xfId="0" applyAlignment="1" applyFont="1" applyNumberFormat="1">
      <alignment readingOrder="0" shrinkToFit="0" vertical="bottom" wrapText="0"/>
    </xf>
    <xf borderId="0" fillId="0" fontId="7" numFmtId="173" xfId="0" applyAlignment="1" applyFont="1" applyNumberFormat="1">
      <alignment readingOrder="0"/>
    </xf>
    <xf borderId="0" fillId="11" fontId="21" numFmtId="0" xfId="0" applyAlignment="1" applyFont="1">
      <alignment readingOrder="0"/>
    </xf>
    <xf borderId="0" fillId="0" fontId="6" numFmtId="10" xfId="0" applyAlignment="1" applyFont="1" applyNumberFormat="1">
      <alignment shrinkToFit="0" vertical="bottom" wrapText="0"/>
    </xf>
    <xf borderId="0" fillId="7" fontId="6" numFmtId="0" xfId="0" applyAlignment="1" applyFont="1">
      <alignment readingOrder="0" shrinkToFit="0" vertical="bottom" wrapText="0"/>
    </xf>
    <xf borderId="0" fillId="7" fontId="6" numFmtId="14" xfId="0" applyAlignment="1" applyFont="1" applyNumberFormat="1">
      <alignment shrinkToFit="0" vertical="bottom" wrapText="0"/>
    </xf>
    <xf borderId="0" fillId="7" fontId="6" numFmtId="0" xfId="0" applyAlignment="1" applyFont="1">
      <alignment shrinkToFit="0" vertical="bottom" wrapText="0"/>
    </xf>
    <xf borderId="0" fillId="0" fontId="6" numFmtId="169" xfId="0" applyAlignment="1" applyFont="1" applyNumberFormat="1">
      <alignment readingOrder="0" shrinkToFit="0" vertical="bottom" wrapText="0"/>
    </xf>
    <xf borderId="0" fillId="0" fontId="6" numFmtId="170" xfId="0" applyAlignment="1" applyFont="1" applyNumberFormat="1">
      <alignment readingOrder="0" shrinkToFit="0" vertical="bottom" wrapText="0"/>
    </xf>
    <xf borderId="0" fillId="22" fontId="19" numFmtId="0" xfId="0" applyAlignment="1" applyFont="1">
      <alignment readingOrder="0" shrinkToFit="0" vertical="bottom" wrapText="0"/>
    </xf>
    <xf borderId="0" fillId="10" fontId="6" numFmtId="0" xfId="0" applyAlignment="1" applyFont="1">
      <alignment shrinkToFit="0" vertical="bottom" wrapText="0"/>
    </xf>
    <xf borderId="0" fillId="11" fontId="6" numFmtId="10" xfId="0" applyAlignment="1" applyFont="1" applyNumberFormat="1">
      <alignment shrinkToFit="0" vertical="bottom" wrapText="0"/>
    </xf>
    <xf borderId="0" fillId="0" fontId="22" numFmtId="0" xfId="0" applyAlignment="1" applyFont="1">
      <alignment readingOrder="0"/>
    </xf>
    <xf borderId="7" fillId="13" fontId="1" numFmtId="0" xfId="0" applyAlignment="1" applyBorder="1" applyFont="1">
      <alignment horizontal="left" readingOrder="0" shrinkToFit="0" vertical="bottom" wrapText="0"/>
    </xf>
    <xf borderId="7" fillId="0" fontId="3" numFmtId="0" xfId="0" applyBorder="1" applyFont="1"/>
    <xf borderId="0" fillId="0" fontId="19" numFmtId="0" xfId="0" applyAlignment="1" applyFont="1">
      <alignment readingOrder="0" vertical="bottom"/>
    </xf>
    <xf borderId="0" fillId="21" fontId="2" numFmtId="0" xfId="0" applyAlignment="1" applyFont="1">
      <alignment readingOrder="0" vertical="bottom"/>
    </xf>
    <xf borderId="0" fillId="21" fontId="2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  <xf borderId="0" fillId="0" fontId="6" numFmtId="173" xfId="0" applyAlignment="1" applyFont="1" applyNumberFormat="1">
      <alignment readingOrder="0" shrinkToFit="0" vertical="bottom" wrapText="0"/>
    </xf>
    <xf borderId="0" fillId="0" fontId="6" numFmtId="174" xfId="0" applyAlignment="1" applyFont="1" applyNumberFormat="1">
      <alignment readingOrder="0" shrinkToFit="0" vertical="bottom" wrapText="0"/>
    </xf>
    <xf borderId="0" fillId="0" fontId="7" numFmtId="166" xfId="0" applyAlignment="1" applyFont="1" applyNumberFormat="1">
      <alignment readingOrder="0"/>
    </xf>
    <xf borderId="0" fillId="20" fontId="6" numFmtId="164" xfId="0" applyAlignment="1" applyFont="1" applyNumberFormat="1">
      <alignment readingOrder="0" shrinkToFit="0" vertical="bottom" wrapText="0"/>
    </xf>
    <xf borderId="0" fillId="20" fontId="6" numFmtId="0" xfId="0" applyAlignment="1" applyFont="1">
      <alignment readingOrder="0" shrinkToFit="0" vertical="bottom" wrapText="0"/>
    </xf>
    <xf borderId="2" fillId="21" fontId="2" numFmtId="0" xfId="0" applyAlignment="1" applyBorder="1" applyFont="1">
      <alignment horizontal="right" vertical="bottom"/>
    </xf>
    <xf borderId="2" fillId="11" fontId="11" numFmtId="10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shrinkToFit="0" vertical="bottom" wrapText="0"/>
    </xf>
    <xf borderId="0" fillId="23" fontId="6" numFmtId="164" xfId="0" applyAlignment="1" applyFill="1" applyFont="1" applyNumberFormat="1">
      <alignment readingOrder="0" shrinkToFit="0" vertical="bottom" wrapText="0"/>
    </xf>
    <xf borderId="0" fillId="23" fontId="6" numFmtId="0" xfId="0" applyAlignment="1" applyFont="1">
      <alignment readingOrder="0" shrinkToFit="0" vertical="bottom" wrapText="0"/>
    </xf>
    <xf borderId="0" fillId="23" fontId="7" numFmtId="164" xfId="0" applyAlignment="1" applyFont="1" applyNumberFormat="1">
      <alignment shrinkToFit="0" vertical="center" wrapText="0"/>
    </xf>
    <xf borderId="0" fillId="23" fontId="7" numFmtId="165" xfId="0" applyAlignment="1" applyFont="1" applyNumberFormat="1">
      <alignment shrinkToFit="0" vertical="center" wrapText="0"/>
    </xf>
    <xf borderId="0" fillId="8" fontId="23" numFmtId="0" xfId="0" applyAlignment="1" applyFont="1">
      <alignment horizontal="center" readingOrder="0"/>
    </xf>
    <xf borderId="3" fillId="24" fontId="21" numFmtId="0" xfId="0" applyBorder="1" applyFill="1" applyFont="1"/>
    <xf borderId="3" fillId="24" fontId="21" numFmtId="0" xfId="0" applyAlignment="1" applyBorder="1" applyFont="1">
      <alignment readingOrder="0"/>
    </xf>
    <xf borderId="3" fillId="24" fontId="21" numFmtId="0" xfId="0" applyAlignment="1" applyBorder="1" applyFont="1">
      <alignment horizontal="center" readingOrder="0"/>
    </xf>
    <xf borderId="0" fillId="0" fontId="21" numFmtId="0" xfId="0" applyFont="1"/>
    <xf borderId="0" fillId="0" fontId="21" numFmtId="0" xfId="0" applyFont="1"/>
    <xf borderId="3" fillId="0" fontId="7" numFmtId="0" xfId="0" applyAlignment="1" applyBorder="1" applyFont="1">
      <alignment horizontal="left"/>
    </xf>
    <xf borderId="3" fillId="0" fontId="7" numFmtId="4" xfId="0" applyAlignment="1" applyBorder="1" applyFont="1" applyNumberFormat="1">
      <alignment horizontal="left"/>
    </xf>
    <xf borderId="3" fillId="0" fontId="7" numFmtId="164" xfId="0" applyAlignment="1" applyBorder="1" applyFont="1" applyNumberFormat="1">
      <alignment horizontal="center"/>
    </xf>
    <xf borderId="3" fillId="0" fontId="7" numFmtId="164" xfId="0" applyAlignment="1" applyBorder="1" applyFont="1" applyNumberFormat="1">
      <alignment horizontal="left"/>
    </xf>
    <xf borderId="3" fillId="0" fontId="7" numFmtId="3" xfId="0" applyAlignment="1" applyBorder="1" applyFont="1" applyNumberFormat="1">
      <alignment horizontal="left" readingOrder="0"/>
    </xf>
    <xf borderId="3" fillId="0" fontId="7" numFmtId="3" xfId="0" applyAlignment="1" applyBorder="1" applyFont="1" applyNumberFormat="1">
      <alignment horizontal="left"/>
    </xf>
    <xf borderId="0" fillId="0" fontId="7" numFmtId="166" xfId="0" applyAlignment="1" applyFont="1" applyNumberFormat="1">
      <alignment horizontal="left"/>
    </xf>
    <xf borderId="0" fillId="0" fontId="7" numFmtId="0" xfId="0" applyAlignment="1" applyFont="1">
      <alignment horizontal="left"/>
    </xf>
    <xf borderId="3" fillId="0" fontId="7" numFmtId="0" xfId="0" applyAlignment="1" applyBorder="1" applyFont="1">
      <alignment horizontal="left" readingOrder="0"/>
    </xf>
    <xf borderId="3" fillId="0" fontId="7" numFmtId="4" xfId="0" applyAlignment="1" applyBorder="1" applyFont="1" applyNumberFormat="1">
      <alignment horizontal="left" readingOrder="0"/>
    </xf>
    <xf borderId="3" fillId="0" fontId="7" numFmtId="164" xfId="0" applyAlignment="1" applyBorder="1" applyFont="1" applyNumberFormat="1">
      <alignment horizontal="center" readingOrder="0"/>
    </xf>
    <xf borderId="3" fillId="0" fontId="7" numFmtId="0" xfId="0" applyBorder="1" applyFont="1"/>
    <xf borderId="3" fillId="0" fontId="7" numFmtId="166" xfId="0" applyAlignment="1" applyBorder="1" applyFont="1" applyNumberFormat="1">
      <alignment horizontal="left"/>
    </xf>
    <xf borderId="7" fillId="25" fontId="24" numFmtId="0" xfId="0" applyAlignment="1" applyBorder="1" applyFill="1" applyFont="1">
      <alignment readingOrder="0"/>
    </xf>
    <xf borderId="0" fillId="26" fontId="7" numFmtId="0" xfId="0" applyAlignment="1" applyFill="1" applyFont="1">
      <alignment readingOrder="0"/>
    </xf>
    <xf borderId="0" fillId="7" fontId="24" numFmtId="0" xfId="0" applyAlignment="1" applyFont="1">
      <alignment readingOrder="0"/>
    </xf>
    <xf borderId="0" fillId="26" fontId="21" numFmtId="0" xfId="0" applyAlignment="1" applyFont="1">
      <alignment readingOrder="0"/>
    </xf>
    <xf borderId="0" fillId="26" fontId="21" numFmtId="0" xfId="0" applyAlignment="1" applyFont="1">
      <alignment horizontal="center" readingOrder="0"/>
    </xf>
    <xf borderId="0" fillId="8" fontId="7" numFmtId="0" xfId="0" applyFont="1"/>
    <xf borderId="0" fillId="8" fontId="25" numFmtId="0" xfId="0" applyAlignment="1" applyFont="1">
      <alignment vertical="bottom"/>
    </xf>
    <xf borderId="0" fillId="8" fontId="17" numFmtId="0" xfId="0" applyAlignment="1" applyFont="1">
      <alignment vertical="bottom"/>
    </xf>
    <xf borderId="0" fillId="0" fontId="17" numFmtId="3" xfId="0" applyAlignment="1" applyFont="1" applyNumberFormat="1">
      <alignment vertical="bottom"/>
    </xf>
    <xf borderId="0" fillId="0" fontId="25" numFmtId="0" xfId="0" applyAlignment="1" applyFont="1">
      <alignment horizontal="right" vertical="bottom"/>
    </xf>
    <xf borderId="0" fillId="27" fontId="17" numFmtId="0" xfId="0" applyAlignment="1" applyFill="1" applyFont="1">
      <alignment vertical="bottom"/>
    </xf>
    <xf borderId="0" fillId="28" fontId="25" numFmtId="0" xfId="0" applyAlignment="1" applyFill="1" applyFont="1">
      <alignment vertical="bottom"/>
    </xf>
    <xf borderId="0" fillId="28" fontId="17" numFmtId="0" xfId="0" applyAlignment="1" applyFont="1">
      <alignment vertical="bottom"/>
    </xf>
    <xf borderId="0" fillId="28" fontId="25" numFmtId="3" xfId="0" applyAlignment="1" applyFont="1" applyNumberFormat="1">
      <alignment vertical="bottom"/>
    </xf>
    <xf borderId="0" fillId="28" fontId="25" numFmtId="14" xfId="0" applyAlignment="1" applyFont="1" applyNumberFormat="1">
      <alignment horizontal="right" vertical="bottom"/>
    </xf>
    <xf borderId="0" fillId="28" fontId="25" numFmtId="0" xfId="0" applyAlignment="1" applyFont="1">
      <alignment readingOrder="0" vertical="bottom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right" vertical="bottom"/>
    </xf>
    <xf borderId="0" fillId="0" fontId="26" numFmtId="175" xfId="0" applyAlignment="1" applyFont="1" applyNumberFormat="1">
      <alignment vertical="bottom"/>
    </xf>
    <xf borderId="0" fillId="0" fontId="26" numFmtId="175" xfId="0" applyAlignment="1" applyFont="1" applyNumberFormat="1">
      <alignment horizontal="right" vertical="bottom"/>
    </xf>
    <xf borderId="0" fillId="0" fontId="26" numFmtId="3" xfId="0" applyAlignment="1" applyFont="1" applyNumberFormat="1">
      <alignment horizontal="right" vertical="bottom"/>
    </xf>
    <xf borderId="0" fillId="0" fontId="26" numFmtId="10" xfId="0" applyAlignment="1" applyFont="1" applyNumberFormat="1">
      <alignment horizontal="right" vertical="bottom"/>
    </xf>
    <xf borderId="0" fillId="17" fontId="26" numFmtId="3" xfId="0" applyAlignment="1" applyFont="1" applyNumberFormat="1">
      <alignment horizontal="right" vertical="bottom"/>
    </xf>
    <xf borderId="0" fillId="17" fontId="27" numFmtId="3" xfId="0" applyFont="1" applyNumberFormat="1"/>
    <xf borderId="0" fillId="29" fontId="26" numFmtId="10" xfId="0" applyAlignment="1" applyFill="1" applyFont="1" applyNumberFormat="1">
      <alignment horizontal="right" vertical="bottom"/>
    </xf>
    <xf borderId="0" fillId="0" fontId="17" numFmtId="175" xfId="0" applyAlignment="1" applyFont="1" applyNumberFormat="1">
      <alignment vertical="bottom"/>
    </xf>
    <xf borderId="0" fillId="0" fontId="26" numFmtId="0" xfId="0" applyAlignment="1" applyFont="1">
      <alignment readingOrder="0" vertical="bottom"/>
    </xf>
    <xf borderId="0" fillId="0" fontId="26" numFmtId="0" xfId="0" applyAlignment="1" applyFont="1">
      <alignment horizontal="right" readingOrder="0" vertical="bottom"/>
    </xf>
    <xf borderId="0" fillId="0" fontId="26" numFmtId="14" xfId="0" applyAlignment="1" applyFont="1" applyNumberFormat="1">
      <alignment horizontal="right" vertical="bottom"/>
    </xf>
    <xf borderId="0" fillId="0" fontId="26" numFmtId="9" xfId="0" applyAlignment="1" applyFont="1" applyNumberFormat="1">
      <alignment horizontal="center" vertical="bottom"/>
    </xf>
    <xf borderId="0" fillId="0" fontId="17" numFmtId="176" xfId="0" applyAlignment="1" applyFont="1" applyNumberFormat="1">
      <alignment vertical="bottom"/>
    </xf>
    <xf borderId="0" fillId="10" fontId="17" numFmtId="0" xfId="0" applyAlignment="1" applyFont="1">
      <alignment vertical="bottom"/>
    </xf>
    <xf borderId="0" fillId="10" fontId="25" numFmtId="0" xfId="0" applyAlignment="1" applyFont="1">
      <alignment vertical="bottom"/>
    </xf>
    <xf borderId="0" fillId="10" fontId="17" numFmtId="3" xfId="0" applyAlignment="1" applyFont="1" applyNumberFormat="1">
      <alignment vertical="bottom"/>
    </xf>
    <xf borderId="0" fillId="10" fontId="25" numFmtId="3" xfId="0" applyAlignment="1" applyFont="1" applyNumberFormat="1">
      <alignment horizontal="right" vertical="bottom"/>
    </xf>
    <xf borderId="0" fillId="0" fontId="26" numFmtId="9" xfId="0" applyAlignment="1" applyFont="1" applyNumberFormat="1">
      <alignment horizontal="right" vertical="bottom"/>
    </xf>
    <xf borderId="0" fillId="10" fontId="25" numFmtId="3" xfId="0" applyAlignment="1" applyFont="1" applyNumberFormat="1">
      <alignment vertical="bottom"/>
    </xf>
    <xf borderId="0" fillId="10" fontId="25" numFmtId="10" xfId="0" applyAlignment="1" applyFont="1" applyNumberFormat="1">
      <alignment horizontal="right" vertical="bottom"/>
    </xf>
    <xf borderId="0" fillId="8" fontId="17" numFmtId="175" xfId="0" applyAlignment="1" applyFont="1" applyNumberFormat="1">
      <alignment vertical="bottom"/>
    </xf>
    <xf borderId="0" fillId="28" fontId="25" numFmtId="175" xfId="0" applyAlignment="1" applyFont="1" applyNumberFormat="1">
      <alignment vertical="bottom"/>
    </xf>
    <xf borderId="0" fillId="0" fontId="26" numFmtId="177" xfId="0" applyAlignment="1" applyFont="1" applyNumberFormat="1">
      <alignment horizontal="right" vertical="bottom"/>
    </xf>
  </cellXfs>
  <cellStyles count="1">
    <cellStyle xfId="0" name="Normal" builtinId="0"/>
  </cellStyles>
  <dxfs count="10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7B804"/>
          <bgColor rgb="FFF7B804"/>
        </patternFill>
      </fill>
      <border/>
    </dxf>
  </dxfs>
  <tableStyles count="25">
    <tableStyle count="2" pivot="0" name="MF holdings and transactions-style">
      <tableStyleElement dxfId="3" type="firstRowStripe"/>
      <tableStyleElement dxfId="4" type="secondRowStripe"/>
    </tableStyle>
    <tableStyle count="4" pivot="0" name="MF holdings and transactions-style 2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2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3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4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5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6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7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8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9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0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1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2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3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4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5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6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7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8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MF CAS-style 19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Stocks Transaction-style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Stocks Transaction-style 2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Stocks Transaction-style 3">
      <tableStyleElement dxfId="5" type="headerRow"/>
      <tableStyleElement dxfId="4" type="firstRowStripe"/>
      <tableStyleElement dxfId="3" type="secondRowStripe"/>
      <tableStyleElement dxfId="6" size="0" type="wholeTable"/>
    </tableStyle>
    <tableStyle count="4" pivot="0" name="Stocks Transaction-style 4">
      <tableStyleElement dxfId="5" type="headerRow"/>
      <tableStyleElement dxfId="4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 Sum vs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'Portfolio  Holdings'!$E$4:$E$313</c:f>
            </c:strRef>
          </c:cat>
          <c:val>
            <c:numRef>
              <c:f>'Portfolio  Holdings'!$D$4:$D$313</c:f>
              <c:numCache/>
            </c:numRef>
          </c:val>
          <c:smooth val="1"/>
        </c:ser>
        <c:axId val="500544863"/>
        <c:axId val="30376822"/>
      </c:lineChart>
      <c:catAx>
        <c:axId val="500544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76822"/>
      </c:catAx>
      <c:valAx>
        <c:axId val="30376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 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5448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'MF holdings and transactions'!$A$330:$A$332</c:f>
            </c:strRef>
          </c:cat>
          <c:val>
            <c:numRef>
              <c:f>'MF holdings and transactions'!$D$330:$D$332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4250000000000007"/>
          <c:y val="0.05539083557951482"/>
          <c:w val="0.9381666666666668"/>
          <c:h val="0.8999999999999998"/>
        </c:manualLayout>
      </c:layout>
      <c:pieChart>
        <c:varyColors val="1"/>
        <c:ser>
          <c:idx val="0"/>
          <c:order val="0"/>
          <c:tx>
            <c:strRef>
              <c:f>'MF holdings and transactions'!$B$328:$B$329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'MF holdings and transactions'!$A$330:$A$332</c:f>
            </c:strRef>
          </c:cat>
          <c:val>
            <c:numRef>
              <c:f>'MF holdings and transactions'!$B$330:$B$332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1419225</xdr:colOff>
      <xdr:row>25</xdr:row>
      <xdr:rowOff>76200</xdr:rowOff>
    </xdr:from>
    <xdr:ext cx="6334125" cy="3962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338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371475</xdr:colOff>
      <xdr:row>338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an Singh" id="{f565c5cf-50a6-4618-81a2-9ac3c624d90d}" providerId="google-sheets"/>
</x18tc:personList>
</file>

<file path=xl/tables/table1.xml><?xml version="1.0" encoding="utf-8"?>
<table xmlns="http://schemas.openxmlformats.org/spreadsheetml/2006/main" headerRowCount="0" ref="A44:G4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F holdings and transactions-style" showColumnStripes="0" showFirstColumn="1" showLastColumn="1" showRowStripes="1"/>
</table>
</file>

<file path=xl/tables/table2.xml><?xml version="1.0" encoding="utf-8"?>
<table xmlns="http://schemas.openxmlformats.org/spreadsheetml/2006/main" ref="A316:L321" displayName="Table24" name="Table24" id="2">
  <tableColumns count="12">
    <tableColumn name="Scheme Name" id="1"/>
    <tableColumn name="GOOGLE FINANCE CODE" id="2"/>
    <tableColumn name="AMC" id="3"/>
    <tableColumn name="Category" id="4"/>
    <tableColumn name="Sub-category" id="5"/>
    <tableColumn name="Folio(s) No." id="6"/>
    <tableColumn name="NAV" id="7"/>
    <tableColumn name="Source" id="8"/>
    <tableColumn name="Units" id="9"/>
    <tableColumn name="Invested Value" id="10"/>
    <tableColumn name="Current Value" id="11"/>
    <tableColumn name="XIRR" id="12"/>
  </tableColumns>
  <tableStyleInfo name="MF holdings and transactions-style 2" showColumnStripes="0" showFirstColumn="1" showLastColumn="1" showRowStripes="1"/>
</table>
</file>

<file path=xl/tables/table3.xml><?xml version="1.0" encoding="utf-8"?>
<table xmlns="http://schemas.openxmlformats.org/spreadsheetml/2006/main" ref="A3:G6" displayName="Table2" name="Table2" id="3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" showColumnStripes="0" showFirstColumn="1" showLastColumn="1" showRowStripes="1"/>
</table>
</file>

<file path=xl/tables/table4.xml><?xml version="1.0" encoding="utf-8"?>
<table xmlns="http://schemas.openxmlformats.org/spreadsheetml/2006/main" ref="A10:G13" displayName="Table3" name="Table3" id="4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2" showColumnStripes="0" showFirstColumn="1" showLastColumn="1" showRowStripes="1"/>
</table>
</file>

<file path=xl/tables/table5.xml><?xml version="1.0" encoding="utf-8"?>
<table xmlns="http://schemas.openxmlformats.org/spreadsheetml/2006/main" ref="A17:G20" displayName="Table4" name="Table4" id="5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3" showColumnStripes="0" showFirstColumn="1" showLastColumn="1" showRowStripes="1"/>
</table>
</file>

<file path=xl/tables/table6.xml><?xml version="1.0" encoding="utf-8"?>
<table xmlns="http://schemas.openxmlformats.org/spreadsheetml/2006/main" ref="A24:G27" displayName="Table5" name="Table5" id="6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4" showColumnStripes="0" showFirstColumn="1" showLastColumn="1" showRowStripes="1"/>
</table>
</file>

<file path=xl/tables/table7.xml><?xml version="1.0" encoding="utf-8"?>
<table xmlns="http://schemas.openxmlformats.org/spreadsheetml/2006/main" ref="A31:G36" displayName="Table6" name="Table6" id="7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5" showColumnStripes="0" showFirstColumn="1" showLastColumn="1" showRowStripes="1"/>
</table>
</file>

<file path=xl/tables/table8.xml><?xml version="1.0" encoding="utf-8"?>
<table xmlns="http://schemas.openxmlformats.org/spreadsheetml/2006/main" ref="A40:G43" displayName="Table7" name="Table7" id="8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6" showColumnStripes="0" showFirstColumn="1" showLastColumn="1" showRowStripes="1"/>
</table>
</file>

<file path=xl/tables/table9.xml><?xml version="1.0" encoding="utf-8"?>
<table xmlns="http://schemas.openxmlformats.org/spreadsheetml/2006/main" ref="A47:G50" displayName="Table8" name="Table8" id="9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7" showColumnStripes="0" showFirstColumn="1" showLastColumn="1" showRowStripes="1"/>
</table>
</file>

<file path=xl/tables/table10.xml><?xml version="1.0" encoding="utf-8"?>
<table xmlns="http://schemas.openxmlformats.org/spreadsheetml/2006/main" ref="A54:G95" displayName="Table1" name="Table1" id="10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8" showColumnStripes="0" showFirstColumn="1" showLastColumn="1" showRowStripes="1"/>
</table>
</file>

<file path=xl/tables/table11.xml><?xml version="1.0" encoding="utf-8"?>
<table xmlns="http://schemas.openxmlformats.org/spreadsheetml/2006/main" ref="A99:G132" displayName="Table9" name="Table9" id="11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9" showColumnStripes="0" showFirstColumn="1" showLastColumn="1" showRowStripes="1"/>
</table>
</file>

<file path=xl/tables/table12.xml><?xml version="1.0" encoding="utf-8"?>
<table xmlns="http://schemas.openxmlformats.org/spreadsheetml/2006/main" ref="A136:G171" displayName="Table10" name="Table10" id="12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0" showColumnStripes="0" showFirstColumn="1" showLastColumn="1" showRowStripes="1"/>
</table>
</file>

<file path=xl/tables/table13.xml><?xml version="1.0" encoding="utf-8"?>
<table xmlns="http://schemas.openxmlformats.org/spreadsheetml/2006/main" ref="A177:G185" displayName="Table11" name="Table11" id="13">
  <tableColumns count="7">
    <tableColumn name="Motilal Oswal S&amp;P 500 Index Fund Direct Growth" id="1"/>
    <tableColumn name="SWITCH REDEEM" id="2"/>
    <tableColumn name="265.72" id="3"/>
    <tableColumn name="14.41" id="4"/>
    <tableColumn name="3,830" id="5"/>
    <tableColumn name="29 Jun 2021" id="6"/>
    <tableColumn name="3,830 2" id="7"/>
  </tableColumns>
  <tableStyleInfo name="MF CAS-style 11" showColumnStripes="0" showFirstColumn="1" showLastColumn="1" showRowStripes="1"/>
</table>
</file>

<file path=xl/tables/table14.xml><?xml version="1.0" encoding="utf-8"?>
<table xmlns="http://schemas.openxmlformats.org/spreadsheetml/2006/main" ref="A189:G226" displayName="Table12" name="Table12" id="14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2" showColumnStripes="0" showFirstColumn="1" showLastColumn="1" showRowStripes="1"/>
</table>
</file>

<file path=xl/tables/table15.xml><?xml version="1.0" encoding="utf-8"?>
<table xmlns="http://schemas.openxmlformats.org/spreadsheetml/2006/main" ref="A230:G266" displayName="Table13" name="Table13" id="15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3" showColumnStripes="0" showFirstColumn="1" showLastColumn="1" showRowStripes="1"/>
</table>
</file>

<file path=xl/tables/table16.xml><?xml version="1.0" encoding="utf-8"?>
<table xmlns="http://schemas.openxmlformats.org/spreadsheetml/2006/main" ref="A270:G303" displayName="Table14" name="Table14" id="16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4" showColumnStripes="0" showFirstColumn="1" showLastColumn="1" showRowStripes="1"/>
</table>
</file>

<file path=xl/tables/table17.xml><?xml version="1.0" encoding="utf-8"?>
<table xmlns="http://schemas.openxmlformats.org/spreadsheetml/2006/main" ref="A307:G310" displayName="Table15" name="Table15" id="17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5" showColumnStripes="0" showFirstColumn="1" showLastColumn="1" showRowStripes="1"/>
</table>
</file>

<file path=xl/tables/table18.xml><?xml version="1.0" encoding="utf-8"?>
<table xmlns="http://schemas.openxmlformats.org/spreadsheetml/2006/main" ref="A314:G317" displayName="Table16" name="Table16" id="18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6" showColumnStripes="0" showFirstColumn="1" showLastColumn="1" showRowStripes="1"/>
</table>
</file>

<file path=xl/tables/table19.xml><?xml version="1.0" encoding="utf-8"?>
<table xmlns="http://schemas.openxmlformats.org/spreadsheetml/2006/main" ref="A321:G324" displayName="Table17" name="Table17" id="19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7" showColumnStripes="0" showFirstColumn="1" showLastColumn="1" showRowStripes="1"/>
</table>
</file>

<file path=xl/tables/table20.xml><?xml version="1.0" encoding="utf-8"?>
<table xmlns="http://schemas.openxmlformats.org/spreadsheetml/2006/main" ref="A328:G355" displayName="Table18" name="Table18" id="20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8" showColumnStripes="0" showFirstColumn="1" showLastColumn="1" showRowStripes="1"/>
</table>
</file>

<file path=xl/tables/table21.xml><?xml version="1.0" encoding="utf-8"?>
<table xmlns="http://schemas.openxmlformats.org/spreadsheetml/2006/main" ref="A359:G381" displayName="Table19" name="Table19" id="21">
  <tableColumns count="7">
    <tableColumn name="Scheme Name" id="1"/>
    <tableColumn name="Transaction Type" id="2"/>
    <tableColumn name="Units" id="3"/>
    <tableColumn name="NAV" id="4"/>
    <tableColumn name="Amount" id="5"/>
    <tableColumn name="Date" id="6"/>
    <tableColumn name="Amount in/out" id="7"/>
  </tableColumns>
  <tableStyleInfo name="MF CAS-style 19" showColumnStripes="0" showFirstColumn="1" showLastColumn="1" showRowStripes="1"/>
</table>
</file>

<file path=xl/tables/table22.xml><?xml version="1.0" encoding="utf-8"?>
<table xmlns="http://schemas.openxmlformats.org/spreadsheetml/2006/main" ref="A10:J22" displayName="Table23" name="Table23" id="22">
  <tableColumns count="10">
    <tableColumn name="Stock name" id="1"/>
    <tableColumn name="ISIN" id="2"/>
    <tableColumn name="Quantity" id="3"/>
    <tableColumn name="Buy date" id="4"/>
    <tableColumn name="Buy price" id="5"/>
    <tableColumn name="Buy value" id="6"/>
    <tableColumn name="Sell date" id="7"/>
    <tableColumn name="Sell price" id="8"/>
    <tableColumn name="Sell value" id="9"/>
    <tableColumn name="UN/Realised P&amp;L" id="10"/>
  </tableColumns>
  <tableStyleInfo name="Stocks Transaction-style" showColumnStripes="0" showFirstColumn="1" showLastColumn="1" showRowStripes="1"/>
</table>
</file>

<file path=xl/tables/table23.xml><?xml version="1.0" encoding="utf-8"?>
<table xmlns="http://schemas.openxmlformats.org/spreadsheetml/2006/main" ref="A27:J49" displayName="Table20" name="Table20" id="23">
  <tableColumns count="10">
    <tableColumn name="Stock name" id="1"/>
    <tableColumn name="ISIN" id="2"/>
    <tableColumn name="Quantity" id="3"/>
    <tableColumn name="Buy date" id="4"/>
    <tableColumn name="Buy price" id="5"/>
    <tableColumn name="Buy value" id="6"/>
    <tableColumn name="Sell date" id="7"/>
    <tableColumn name="Sell price" id="8"/>
    <tableColumn name="Sell value" id="9"/>
    <tableColumn name="UN/Realised P&amp;L" id="10"/>
  </tableColumns>
  <tableStyleInfo name="Stocks Transaction-style 2" showColumnStripes="0" showFirstColumn="1" showLastColumn="1" showRowStripes="1"/>
</table>
</file>

<file path=xl/tables/table24.xml><?xml version="1.0" encoding="utf-8"?>
<table xmlns="http://schemas.openxmlformats.org/spreadsheetml/2006/main" ref="A54:B76" displayName="Table21" name="Table21" id="24">
  <tableColumns count="2">
    <tableColumn name="Dates" id="1"/>
    <tableColumn name="Amount in/out" id="2"/>
  </tableColumns>
  <tableStyleInfo name="Stocks Transaction-style 3" showColumnStripes="0" showFirstColumn="1" showLastColumn="1" showRowStripes="1"/>
</table>
</file>

<file path=xl/tables/table25.xml><?xml version="1.0" encoding="utf-8"?>
<table xmlns="http://schemas.openxmlformats.org/spreadsheetml/2006/main" ref="E54:F109" displayName="Table22" name="Table22" id="25">
  <autoFilter ref="$E$54:$F$109"/>
  <tableColumns count="2">
    <tableColumn name="Dates" id="1"/>
    <tableColumn name="Amount in/out" id="2"/>
  </tableColumns>
  <tableStyleInfo name="Stocks Transactio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" dT="2025-07-17T16:30:56.00" personId="{f565c5cf-50a6-4618-81a2-9ac3c624d90d}" id="{3eea969c-87eb-4e5f-ab23-4a43a4003155}" done="0">
    <x18tc:text xml:space="preserve">period</x18tc:text>
  </x18tc:threadedComment>
  <x18tc:threadedComment ref="F7" dT="2025-07-17T16:31:13.00" personId="{f565c5cf-50a6-4618-81a2-9ac3c624d90d}" id="{c073e35b-3068-4313-b349-06beffda48e9}" done="0">
    <x18tc:text xml:space="preserve">end price</x18tc:text>
  </x18tc:threadedComment>
  <x18tc:threadedComment ref="F5" dT="2025-07-17T16:31:45.00" personId="{f565c5cf-50a6-4618-81a2-9ac3c624d90d}" id="{90387732-e243-4f36-9ca9-d7e0d35f10b4}" done="0">
    <x18tc:text xml:space="preserve">ending date</x18tc:text>
  </x18tc:threadedComment>
  <x18tc:threadedComment ref="F6" dT="2025-07-17T16:31:24.00" personId="{f565c5cf-50a6-4618-81a2-9ac3c624d90d}" id="{b3ed0af4-2894-46e5-bd0b-10ac079d3539}" done="0">
    <x18tc:text xml:space="preserve">starting price</x18tc:text>
  </x18tc:threadedComment>
  <x18tc:threadedComment ref="F4" dT="2025-07-17T16:31:35.00" personId="{f565c5cf-50a6-4618-81a2-9ac3c624d90d}" id="{a988cb70-44ed-42aa-9c91-082ed95632a5}" done="0">
    <x18tc:text xml:space="preserve">starting date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2" dT="2026-01-06T08:22:39.00" personId="{f565c5cf-50a6-4618-81a2-9ac3c624d90d}" id="{39f9b8dd-6d4f-4a3b-a28f-1b89c7046bd4}" done="0">
    <x18tc:text xml:space="preserve">1500 SIP in 3 mutual funds, 500 manual ETF SIP</x18tc:text>
  </x18tc:threadedComment>
  <x18tc:threadedComment ref="B251" dT="2024-12-17T19:51:22.00" personId="{f565c5cf-50a6-4618-81a2-9ac3c624d90d}" id="{f0e5a5ff-2a35-4c0c-9db4-74925fda72ae}" done="0">
    <x18tc:text xml:space="preserve">Purchased from profit booked</x18tc:text>
  </x18tc:threadedComment>
  <x18tc:threadedComment ref="B77" dT="2024-12-17T18:58:07.00" personId="{f565c5cf-50a6-4618-81a2-9ac3c624d90d}" id="{0caeb8ed-2969-429a-bccd-8dd89298a8c3}" done="0">
    <x18tc:text xml:space="preserve">Purchased from profit booked</x18tc:text>
  </x18tc:threadedComment>
  <x18tc:threadedComment ref="B253" dT="2024-12-17T19:02:43.00" personId="{f565c5cf-50a6-4618-81a2-9ac3c624d90d}" id="{b43b0a2b-88ff-4f5d-8d4c-f674eefccab6}" done="0">
    <x18tc:text xml:space="preserve">to find more returns while increasing the risk (mid to small cap)</x18tc:text>
  </x18tc:threadedComment>
  <x18tc:threadedComment ref="B125" dT="2024-12-17T19:51:33.00" personId="{f565c5cf-50a6-4618-81a2-9ac3c624d90d}" id="{5b33b387-f9c8-4648-a2f5-dbd742534720}" done="0">
    <x18tc:text xml:space="preserve">Purchased from profit booked</x18tc:text>
  </x18tc:threadedComment>
  <x18tc:threadedComment ref="B85" dT="2024-12-17T18:58:20.00" personId="{f565c5cf-50a6-4618-81a2-9ac3c624d90d}" id="{03b883bc-08ea-4e00-ac4c-a2e0c5f2d75a}" done="0">
    <x18tc:text xml:space="preserve">Purchased from profit booked</x18tc:text>
  </x18tc:threadedComment>
  <x18tc:threadedComment ref="B277" dT="2024-12-17T19:04:19.00" personId="{f565c5cf-50a6-4618-81a2-9ac3c624d90d}" id="{fb98e147-7342-467c-8e00-d5164dd67fe4}" done="0">
    <x18tc:text xml:space="preserve">to find more returns while increasing the risk (more concentrated, S&amp;P 500 to NAS100)</x18tc:text>
  </x18tc:threadedComment>
  <x18tc:threadedComment ref="B126" dT="2024-12-17T19:51:38.00" personId="{f565c5cf-50a6-4618-81a2-9ac3c624d90d}" id="{765b2679-bf4f-4cb5-8925-33bc9d21f665}" done="0">
    <x18tc:text xml:space="preserve">Purchased from profit booked</x18tc:text>
  </x18tc:threadedComment>
  <x18tc:threadedComment ref="B118" dT="2024-12-17T19:51:57.00" personId="{f565c5cf-50a6-4618-81a2-9ac3c624d90d}" id="{ce99d0bb-d97e-41e2-ab87-60037efe4bf1}" done="0">
    <x18tc:text xml:space="preserve">Purchased from profit booked</x18tc:text>
  </x18tc:threadedComment>
  <x18tc:threadedComment ref="B84" dT="2024-12-17T18:58:36.00" personId="{f565c5cf-50a6-4618-81a2-9ac3c624d90d}" id="{0a92f8bc-79cf-4c44-b41f-1141badaa6d6}" done="0">
    <x18tc:text xml:space="preserve">Purchased from profit booked</x18tc:text>
  </x18tc:threadedComment>
  <x18tc:threadedComment ref="B270" dT="2024-12-17T19:04:55.00" personId="{f565c5cf-50a6-4618-81a2-9ac3c624d90d}" id="{bcbf3a31-dbd6-4fc6-b0fe-2c43e9654523}" done="0">
    <x18tc:text xml:space="preserve">to find more returns while increasing the risk (corporate bond to liquid fund)</x18tc:text>
  </x18tc:threadedComment>
  <x18tc:threadedComment ref="B127" dT="2024-12-17T19:51:44.00" personId="{f565c5cf-50a6-4618-81a2-9ac3c624d90d}" id="{4d71cb9e-d4e3-41d6-958d-15c9cf5798c1}" done="0">
    <x18tc:text xml:space="preserve">Purchased from profit booked</x18tc:text>
  </x18tc:threadedComment>
  <x18tc:threadedComment ref="B83" dT="2024-12-17T18:58:42.00" personId="{f565c5cf-50a6-4618-81a2-9ac3c624d90d}" id="{b363adee-2a4e-4df9-a38d-7b1c40fdacb5}" done="0">
    <x18tc:text xml:space="preserve">Purchased from profit booked</x18tc:text>
  </x18tc:threadedComment>
  <x18tc:threadedComment ref="B120" dT="2024-12-17T19:06:45.00" personId="{f565c5cf-50a6-4618-81a2-9ac3c624d90d}" id="{82b8a843-7edd-4f03-b386-516ba01164fb}" done="0">
    <x18tc:text xml:space="preserve">to park money for safety (volatile or too bullish market)</x18tc:text>
  </x18tc:threadedComment>
  <x18tc:threadedComment ref="B128" dT="2024-12-17T19:01:01.00" personId="{f565c5cf-50a6-4618-81a2-9ac3c624d90d}" id="{8881426b-322d-4823-a364-0e2d87a8ba6e}" done="0">
    <x18tc:text xml:space="preserve">to park money for safety (volatile or too bullish market)</x18tc:text>
  </x18tc:threadedComment>
  <x18tc:threadedComment ref="B88" dT="2024-12-17T19:08:57.00" personId="{f565c5cf-50a6-4618-81a2-9ac3c624d90d}" id="{1ce10b51-88fc-4b64-9333-eabd0034acd3}" done="0">
    <x18tc:text xml:space="preserve">mistakenly invested so redeemed</x18tc:text>
  </x18tc:threadedComment>
  <x18tc:threadedComment ref="B287" dT="2024-12-17T19:45:37.00" personId="{f565c5cf-50a6-4618-81a2-9ac3c624d90d}" id="{4b890a7c-5773-4955-8335-ddeb8231c271}" done="0">
    <x18tc:text xml:space="preserve">Purchased from profit booked</x18tc:text>
  </x18tc:threadedComment>
  <x18tc:threadedComment ref="B86" dT="2024-12-17T19:10:26.00" personId="{f565c5cf-50a6-4618-81a2-9ac3c624d90d}" id="{a066f799-060c-41e5-9310-79d61a0147ee}" done="0">
    <x18tc:text xml:space="preserve">to simplify investing and move more towards passive (index) investing</x18tc:text>
  </x18tc:threadedComment>
  <x18tc:threadedComment ref="B76" dT="2024-12-17T18:57:40.00" personId="{f565c5cf-50a6-4618-81a2-9ac3c624d90d}" id="{21114b67-b7d1-4992-b6c3-cb7b80af0cec}" done="0">
    <x18tc:text xml:space="preserve">purchase from profit booked</x18tc:text>
  </x18tc:threadedComment>
  <x18tc:threadedComment ref="B82" dT="2024-12-17T19:10:56.00" personId="{f565c5cf-50a6-4618-81a2-9ac3c624d90d}" id="{94f0bccf-c6ba-450d-b3be-8d2b9ce5fded}" done="0">
    <x18tc:text xml:space="preserve">to invest at right time (bear market)</x18tc:text>
  </x18tc:threadedComment>
  <x18tc:threadedComment ref="B82" dT="2024-12-17T19:12:58.00" personId="{f565c5cf-50a6-4618-81a2-9ac3c624d90d}" id="{1c2326e1-b77b-486a-b21f-5ed33c2d6474}" parentId="{94f0bccf-c6ba-450d-b3be-8d2b9ce5fded}">
    <x18tc:text xml:space="preserve">partial profit (5400)</x18tc:text>
  </x18tc:threadedComment>
  <x18tc:threadedComment ref="B67" dT="2024-12-17T15:19:22.00" personId="{f565c5cf-50a6-4618-81a2-9ac3c624d90d}" id="{a9d81934-00e3-4b94-a959-6e8bdb366d61}" done="0">
    <x18tc:text xml:space="preserve">to invest at right time (bear market -8 to -10%)</x18tc:text>
  </x18tc:threadedComment>
  <x18tc:threadedComment ref="B67" dT="2024-12-17T18:49:33.00" personId="{f565c5cf-50a6-4618-81a2-9ac3c624d90d}" id="{d21c2577-c65b-4c1a-8233-a31aa5f97704}" parentId="{a9d81934-00e3-4b94-a959-6e8bdb366d61}">
    <x18tc:text xml:space="preserve">partial profit (4563)</x18tc:text>
  </x18tc:threadedComment>
  <x18tc:threadedComment ref="H23" dT="2026-01-06T08:21:51.00" personId="{f565c5cf-50a6-4618-81a2-9ac3c624d90d}" id="{1f16e48a-ffe9-406e-9c60-cab818495a88}" done="0">
    <x18tc:text xml:space="preserve">available at good value so bought instead of Motilal Nasdaq 100</x18tc:text>
  </x18tc:threadedComment>
  <x18tc:threadedComment ref="B250" dT="2024-12-17T19:51:09.00" personId="{f565c5cf-50a6-4618-81a2-9ac3c624d90d}" id="{27ad7f55-75a3-4fd0-9639-5f9bd094fef7}" done="0">
    <x18tc:text xml:space="preserve">Purchased from profit booked</x18tc:text>
  </x18tc:threadedComment>
  <x18tc:threadedComment ref="B252" dT="2024-12-17T19:02:22.00" personId="{f565c5cf-50a6-4618-81a2-9ac3c624d90d}" id="{419e542f-acd9-423f-ab6a-df358542ead2}" done="0">
    <x18tc:text xml:space="preserve">to find more returns while increasing the risk (debt to flexicap)</x18tc:text>
  </x18tc:threadedComment>
  <x18tc:threadedComment ref="B96" dT="2024-12-17T19:08:05.00" personId="{f565c5cf-50a6-4618-81a2-9ac3c624d90d}" id="{49f4f89e-d423-4b31-a24f-e0128d54f3f6}" done="0">
    <x18tc:text xml:space="preserve">to invest at right time (bear market)</x18tc:text>
  </x18tc:threadedComment>
  <x18tc:threadedComment ref="B296" dT="2024-12-17T18:47:11.00" personId="{f565c5cf-50a6-4618-81a2-9ac3c624d90d}" id="{3c1e62b9-9bbc-4899-b636-8dcf867a7d6f}" done="0">
    <x18tc:text xml:space="preserve">complete profit (+1)</x18tc:text>
  </x18tc:threadedComment>
  <x18tc:threadedComment ref="B95" dT="2024-12-17T19:08:12.00" personId="{f565c5cf-50a6-4618-81a2-9ac3c624d90d}" id="{f7ab9dd5-cdc9-4f8e-8257-a3e7eeacc16a}" done="0">
    <x18tc:text xml:space="preserve">to invest at right time (bear market)</x18tc:text>
  </x18tc:threadedComment>
  <x18tc:threadedComment ref="B99" dT="2024-12-17T19:44:49.00" personId="{f565c5cf-50a6-4618-81a2-9ac3c624d90d}" id="{5aac40f2-383b-4816-8ae8-9de986002520}" done="0">
    <x18tc:text xml:space="preserve">mistakenly purchased</x18tc:text>
  </x18tc:threadedComment>
  <x18tc:threadedComment ref="B295" dT="2024-12-17T18:47:29.00" personId="{f565c5cf-50a6-4618-81a2-9ac3c624d90d}" id="{617bb368-a555-4f00-b26d-1586d77ca8b6}" done="0">
    <x18tc:text xml:space="preserve">complete LOSS (-5)</x18tc:text>
  </x18tc:threadedComment>
  <x18tc:threadedComment ref="B94" dT="2024-12-17T19:08:18.00" personId="{f565c5cf-50a6-4618-81a2-9ac3c624d90d}" id="{f8ee0691-2095-469a-aa82-82e688c70171}" done="0">
    <x18tc:text xml:space="preserve">to invest at right time (bear market)</x18tc:text>
  </x18tc:threadedComment>
  <x18tc:threadedComment ref="B276" dT="2024-12-17T19:45:23.00" personId="{f565c5cf-50a6-4618-81a2-9ac3c624d90d}" id="{d364a1d7-4698-4a79-9c0e-75e8242d50ce}" done="0">
    <x18tc:text xml:space="preserve">Purchased from profit booked</x18tc:text>
  </x18tc:threadedComment>
  <x18tc:threadedComment ref="B288" dT="2024-12-17T18:47:52.00" personId="{f565c5cf-50a6-4618-81a2-9ac3c624d90d}" id="{0575b053-6910-40f7-b3a8-5fbd4fe2e5f3}" done="0">
    <x18tc:text xml:space="preserve">complete LOSS (-5)</x18tc:text>
  </x18tc:threadedComment>
  <x18tc:threadedComment ref="B288" dT="2024-12-17T19:43:51.00" personId="{f565c5cf-50a6-4618-81a2-9ac3c624d90d}" id="{3ed68225-61b0-48f3-91e9-7721cef50df7}" parentId="{0575b053-6910-40f7-b3a8-5fbd4fe2e5f3}">
    <x18tc:text xml:space="preserve">to find more returns while increasing the risk (corporate bond to liquid fund)</x18tc:text>
  </x18tc:threadedComment>
  <x18tc:threadedComment ref="B93" dT="2024-12-17T19:08:27.00" personId="{f565c5cf-50a6-4618-81a2-9ac3c624d90d}" id="{eb89e94f-fcae-472b-bdb0-37bd298dd789}" done="0">
    <x18tc:text xml:space="preserve">to invest at right time (bear market)</x18tc:text>
  </x18tc:threadedComment>
  <x18tc:threadedComment ref="B271" dT="2024-12-17T19:45:29.00" personId="{f565c5cf-50a6-4618-81a2-9ac3c624d90d}" id="{cdaeaaf9-67b5-4696-972f-51307358a913}" done="0">
    <x18tc:text xml:space="preserve">Purchased from profit booked</x18tc:text>
  </x18tc:threadedComment>
  <x18tc:threadedComment ref="B87" dT="2024-12-17T19:10:21.00" personId="{f565c5cf-50a6-4618-81a2-9ac3c624d90d}" id="{7ce4da03-ac06-4c9e-93be-5c292d2029fc}" done="0">
    <x18tc:text xml:space="preserve">to simplify investing and move more towards passive (index) investing</x18tc:text>
  </x18tc:threadedComment>
  <x18tc:threadedComment ref="B117" dT="2024-12-17T19:51:52.00" personId="{f565c5cf-50a6-4618-81a2-9ac3c624d90d}" id="{8b6e2b17-a7c4-426e-8c3f-e49c285a6b3b}" done="0">
    <x18tc:text xml:space="preserve">Purchased from profit booked</x18tc:text>
  </x18tc:threadedComment>
  <x18tc:threadedComment ref="B66" dT="2024-12-17T18:59:14.00" personId="{f565c5cf-50a6-4618-81a2-9ac3c624d90d}" id="{b3895503-204c-4297-b773-c0237e8c9230}" done="0">
    <x18tc:text xml:space="preserve">Purchased from profit booked</x18tc:text>
  </x18tc:threadedComment>
  <x18tc:threadedComment ref="B119" dT="2024-12-17T19:06:52.00" personId="{f565c5cf-50a6-4618-81a2-9ac3c624d90d}" id="{54b99023-32ef-427a-9373-2ce1f4f48ef0}" done="0">
    <x18tc:text xml:space="preserve">to park money for safety (volatile or too bullish market)</x18tc:text>
  </x18tc:threadedComment>
  <x18tc:threadedComment ref="B129" dT="2024-12-17T19:01:06.00" personId="{f565c5cf-50a6-4618-81a2-9ac3c624d90d}" id="{dd97be50-91d7-4878-a0de-c129b4c0468c}" done="0">
    <x18tc:text xml:space="preserve">to park money for safety (volatile or too bullish market)</x18tc:text>
  </x18tc:threadedComment>
  <x18tc:threadedComment ref="B65" dT="2024-12-17T18:59:21.00" personId="{f565c5cf-50a6-4618-81a2-9ac3c624d90d}" id="{1fc69713-3394-4300-928c-b07e11d4329d}" done="0">
    <x18tc:text xml:space="preserve">Purchased from profit booked</x18tc:text>
  </x18tc:threadedComment>
  <x18tc:threadedComment ref="B130" dT="2024-12-17T19:01:15.00" personId="{f565c5cf-50a6-4618-81a2-9ac3c624d90d}" id="{19adb74c-d3a6-4651-94ee-716cb8487e11}" done="0">
    <x18tc:text xml:space="preserve">to park money for safety (volatile or too bullish market)</x18tc:text>
  </x18tc:threadedComment>
  <x18tc:threadedComment ref="B36" dT="2025-07-19T02:20:06.00" personId="{f565c5cf-50a6-4618-81a2-9ac3c624d90d}" id="{8958db43-2708-4d00-879a-e6bc4d0d324c}" done="0">
    <x18tc:text xml:space="preserve">Sold to buy at low, but forget and booked profit only</x18tc:text>
  </x18tc:threadedComment>
  <x18tc:threadedComment ref="B100" dT="2024-12-17T19:08:00.00" personId="{f565c5cf-50a6-4618-81a2-9ac3c624d90d}" id="{218941b0-1008-440e-aa97-fb5d426c5d31}" done="0">
    <x18tc:text xml:space="preserve">to invest at right time (bear market)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21" Type="http://schemas.openxmlformats.org/officeDocument/2006/relationships/table" Target="../tables/table3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3.xml"/><Relationship Id="rId26" Type="http://schemas.openxmlformats.org/officeDocument/2006/relationships/table" Target="../tables/table8.xml"/><Relationship Id="rId37" Type="http://schemas.openxmlformats.org/officeDocument/2006/relationships/table" Target="../tables/table19.xml"/><Relationship Id="rId25" Type="http://schemas.openxmlformats.org/officeDocument/2006/relationships/table" Target="../tables/table7.xml"/><Relationship Id="rId36" Type="http://schemas.openxmlformats.org/officeDocument/2006/relationships/table" Target="../tables/table18.xml"/><Relationship Id="rId28" Type="http://schemas.openxmlformats.org/officeDocument/2006/relationships/table" Target="../tables/table10.xml"/><Relationship Id="rId39" Type="http://schemas.openxmlformats.org/officeDocument/2006/relationships/table" Target="../tables/table21.xml"/><Relationship Id="rId27" Type="http://schemas.openxmlformats.org/officeDocument/2006/relationships/table" Target="../tables/table9.xml"/><Relationship Id="rId38" Type="http://schemas.openxmlformats.org/officeDocument/2006/relationships/table" Target="../tables/table20.xml"/><Relationship Id="rId29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25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Relationship Id="rId8" Type="http://schemas.openxmlformats.org/officeDocument/2006/relationships/table" Target="../tables/table2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88"/>
    <col customWidth="1" min="7" max="7" width="20.75"/>
    <col customWidth="1" min="8" max="8" width="14.13"/>
  </cols>
  <sheetData>
    <row r="1">
      <c r="H1" s="1" t="s">
        <v>0</v>
      </c>
    </row>
    <row r="2">
      <c r="B2" s="2" t="s">
        <v>1</v>
      </c>
      <c r="C2" s="3"/>
      <c r="D2" s="4">
        <f>C315</f>
        <v>0.1489368896</v>
      </c>
      <c r="F2" s="1" t="s">
        <v>2</v>
      </c>
      <c r="G2" s="4" t="str">
        <f>(F7/F6)^(1/F8) - 1</f>
        <v>#N/A</v>
      </c>
      <c r="H2" s="5" t="str">
        <f>D2-G2</f>
        <v>#N/A</v>
      </c>
    </row>
    <row r="3">
      <c r="B3" s="6" t="s">
        <v>3</v>
      </c>
      <c r="C3" s="6" t="s">
        <v>4</v>
      </c>
      <c r="D3" s="2" t="s">
        <v>5</v>
      </c>
      <c r="E3" s="3"/>
    </row>
    <row r="4">
      <c r="B4" s="7">
        <v>44126.0</v>
      </c>
      <c r="C4" s="8">
        <v>-100.0</v>
      </c>
      <c r="D4" s="8">
        <f t="shared" ref="D4:D313" si="1">-(SUM($C$4:C4))</f>
        <v>100</v>
      </c>
      <c r="E4" s="9">
        <f t="shared" ref="E4:E313" si="2">B4</f>
        <v>44126</v>
      </c>
      <c r="F4" s="9">
        <f>E4</f>
        <v>44126</v>
      </c>
      <c r="G4" s="1" t="s">
        <v>6</v>
      </c>
    </row>
    <row r="5">
      <c r="B5" s="7">
        <v>44126.0</v>
      </c>
      <c r="C5" s="8">
        <v>-499.0</v>
      </c>
      <c r="D5" s="8">
        <f t="shared" si="1"/>
        <v>599</v>
      </c>
      <c r="E5" s="9">
        <f t="shared" si="2"/>
        <v>44126</v>
      </c>
      <c r="F5" s="10">
        <f>TODAY()-1</f>
        <v>46047</v>
      </c>
    </row>
    <row r="6">
      <c r="B6" s="7">
        <v>44126.0</v>
      </c>
      <c r="C6" s="8">
        <v>-499.0</v>
      </c>
      <c r="D6" s="8">
        <f t="shared" si="1"/>
        <v>1098</v>
      </c>
      <c r="E6" s="9">
        <f t="shared" si="2"/>
        <v>44126</v>
      </c>
      <c r="F6" s="8">
        <f>IFERROR(__xludf.DUMMYFUNCTION("INDEX(GOOGLEFINANCE(""NIFTY_50"", ""price"", F4), 2, 2)"),11896.45)</f>
        <v>11896.45</v>
      </c>
      <c r="G6" s="11" t="s">
        <v>7</v>
      </c>
      <c r="H6" s="12">
        <f>'Crypto Analysis'!G22</f>
        <v>9946.752</v>
      </c>
      <c r="J6" s="11" t="s">
        <v>8</v>
      </c>
      <c r="K6" s="13">
        <f>IFERROR(__xludf.DUMMYFUNCTION("GOOGLEFINANCE(""BTCINR"")"),8105255.146)</f>
        <v>8105255.146</v>
      </c>
    </row>
    <row r="7">
      <c r="B7" s="7">
        <v>44152.0</v>
      </c>
      <c r="C7" s="8">
        <v>101.0</v>
      </c>
      <c r="D7" s="8">
        <f t="shared" si="1"/>
        <v>997</v>
      </c>
      <c r="E7" s="9">
        <f t="shared" si="2"/>
        <v>44152</v>
      </c>
      <c r="F7" s="8" t="str">
        <f>IFERROR(__xludf.DUMMYFUNCTION("INDEX(GOOGLEFINANCE(""INDEXNSE:NIFTY_50"", ""close"", F5), 2, 2)"),"#N/A")</f>
        <v>#N/A</v>
      </c>
      <c r="G7" s="11" t="s">
        <v>9</v>
      </c>
      <c r="H7" s="12">
        <f>'Crypto Analysis'!G23</f>
        <v>12489.30586</v>
      </c>
      <c r="J7" s="11" t="s">
        <v>10</v>
      </c>
      <c r="K7" s="13">
        <f>IFERROR(__xludf.DUMMYFUNCTION("GOOGLEFINANCE(""ETHINR"")"),268960.1667)</f>
        <v>268960.1667</v>
      </c>
    </row>
    <row r="8">
      <c r="B8" s="7">
        <v>44162.0</v>
      </c>
      <c r="C8" s="8">
        <v>495.0</v>
      </c>
      <c r="D8" s="8">
        <f t="shared" si="1"/>
        <v>502</v>
      </c>
      <c r="E8" s="9">
        <f t="shared" si="2"/>
        <v>44162</v>
      </c>
      <c r="F8" s="8">
        <f>(F5-F4)/365.25</f>
        <v>5.259411362</v>
      </c>
      <c r="G8" s="11" t="s">
        <v>11</v>
      </c>
      <c r="H8" s="14">
        <f>'Crypto Analysis'!G24</f>
        <v>2542.553863</v>
      </c>
    </row>
    <row r="9">
      <c r="B9" s="7">
        <v>44169.0</v>
      </c>
      <c r="C9" s="8">
        <v>-499.0</v>
      </c>
      <c r="D9" s="8">
        <f t="shared" si="1"/>
        <v>1001</v>
      </c>
      <c r="E9" s="9">
        <f t="shared" si="2"/>
        <v>44169</v>
      </c>
      <c r="H9" s="15">
        <f>'Crypto Analysis'!G25</f>
        <v>0.255616493</v>
      </c>
    </row>
    <row r="10">
      <c r="B10" s="7">
        <v>44180.0</v>
      </c>
      <c r="C10" s="8">
        <v>-499.0</v>
      </c>
      <c r="D10" s="8">
        <f t="shared" si="1"/>
        <v>1500</v>
      </c>
      <c r="E10" s="9">
        <f t="shared" si="2"/>
        <v>44180</v>
      </c>
    </row>
    <row r="11">
      <c r="B11" s="7">
        <v>44181.0</v>
      </c>
      <c r="C11" s="8">
        <v>-499.0</v>
      </c>
      <c r="D11" s="8">
        <f t="shared" si="1"/>
        <v>1999</v>
      </c>
      <c r="E11" s="9">
        <f t="shared" si="2"/>
        <v>44181</v>
      </c>
    </row>
    <row r="12">
      <c r="B12" s="7">
        <v>44208.0</v>
      </c>
      <c r="C12" s="8">
        <v>-999.0</v>
      </c>
      <c r="D12" s="8">
        <f t="shared" si="1"/>
        <v>2998</v>
      </c>
      <c r="E12" s="9">
        <f t="shared" si="2"/>
        <v>44208</v>
      </c>
      <c r="G12" s="1" t="s">
        <v>12</v>
      </c>
    </row>
    <row r="13">
      <c r="B13" s="7">
        <v>44211.0</v>
      </c>
      <c r="C13" s="8">
        <v>-499.0</v>
      </c>
      <c r="D13" s="8">
        <f t="shared" si="1"/>
        <v>3497</v>
      </c>
      <c r="E13" s="9">
        <f t="shared" si="2"/>
        <v>44211</v>
      </c>
      <c r="G13" s="16"/>
      <c r="H13" s="16"/>
      <c r="I13" s="16"/>
      <c r="J13" s="16"/>
      <c r="K13" s="16"/>
      <c r="P13" s="17"/>
      <c r="Q13" s="18"/>
    </row>
    <row r="14">
      <c r="B14" s="7">
        <v>44242.0</v>
      </c>
      <c r="C14" s="8">
        <v>-499.0</v>
      </c>
      <c r="D14" s="8">
        <f t="shared" si="1"/>
        <v>3996</v>
      </c>
      <c r="E14" s="9">
        <f t="shared" si="2"/>
        <v>44242</v>
      </c>
      <c r="G14" s="2" t="s">
        <v>13</v>
      </c>
      <c r="H14" s="2" t="s">
        <v>14</v>
      </c>
      <c r="I14" s="2" t="s">
        <v>15</v>
      </c>
      <c r="J14" s="16"/>
      <c r="K14" s="16"/>
      <c r="N14" s="16"/>
      <c r="O14" s="16"/>
      <c r="P14" s="17"/>
      <c r="Q14" s="18"/>
    </row>
    <row r="15">
      <c r="B15" s="7">
        <v>44242.0</v>
      </c>
      <c r="C15" s="8">
        <v>-995.0</v>
      </c>
      <c r="D15" s="8">
        <f t="shared" si="1"/>
        <v>4991</v>
      </c>
      <c r="E15" s="9">
        <f t="shared" si="2"/>
        <v>44242</v>
      </c>
      <c r="G15" s="19">
        <f>'MF holdings and transactions'!A309</f>
        <v>99758</v>
      </c>
      <c r="H15" s="19">
        <f>'MF holdings and transactions'!B309</f>
        <v>34903</v>
      </c>
      <c r="I15" s="20">
        <f>'MF holdings and transactions'!C309</f>
        <v>67668.99584</v>
      </c>
      <c r="N15" s="16"/>
      <c r="O15" s="16"/>
      <c r="P15" s="17"/>
      <c r="Q15" s="18"/>
    </row>
    <row r="16">
      <c r="B16" s="7">
        <v>44242.0</v>
      </c>
      <c r="C16" s="8">
        <v>995.0</v>
      </c>
      <c r="D16" s="8">
        <f t="shared" si="1"/>
        <v>3996</v>
      </c>
      <c r="E16" s="9">
        <f t="shared" si="2"/>
        <v>44242</v>
      </c>
      <c r="N16" s="16"/>
      <c r="O16" s="16"/>
      <c r="P16" s="17"/>
      <c r="Q16" s="18"/>
    </row>
    <row r="17">
      <c r="B17" s="7">
        <v>44242.0</v>
      </c>
      <c r="C17" s="8">
        <v>-499.0</v>
      </c>
      <c r="D17" s="8">
        <f t="shared" si="1"/>
        <v>4495</v>
      </c>
      <c r="E17" s="9">
        <f t="shared" si="2"/>
        <v>44242</v>
      </c>
      <c r="G17" s="1" t="s">
        <v>16</v>
      </c>
      <c r="H17" s="16"/>
      <c r="I17" s="16"/>
      <c r="P17" s="17"/>
      <c r="Q17" s="18"/>
    </row>
    <row r="18">
      <c r="B18" s="7">
        <v>44270.0</v>
      </c>
      <c r="C18" s="8">
        <v>-499.0</v>
      </c>
      <c r="D18" s="8">
        <f t="shared" si="1"/>
        <v>4994</v>
      </c>
      <c r="E18" s="9">
        <f t="shared" si="2"/>
        <v>44270</v>
      </c>
      <c r="G18" s="16"/>
      <c r="H18" s="16"/>
      <c r="I18" s="16"/>
    </row>
    <row r="19">
      <c r="B19" s="7">
        <v>44270.0</v>
      </c>
      <c r="C19" s="8">
        <v>-499.0</v>
      </c>
      <c r="D19" s="8">
        <f t="shared" si="1"/>
        <v>5493</v>
      </c>
      <c r="E19" s="9">
        <f t="shared" si="2"/>
        <v>44270</v>
      </c>
      <c r="G19" s="2" t="s">
        <v>13</v>
      </c>
      <c r="H19" s="2" t="s">
        <v>14</v>
      </c>
      <c r="I19" s="2" t="s">
        <v>15</v>
      </c>
    </row>
    <row r="20">
      <c r="B20" s="7">
        <v>44301.0</v>
      </c>
      <c r="C20" s="8">
        <v>-499.0</v>
      </c>
      <c r="D20" s="8">
        <f t="shared" si="1"/>
        <v>5992</v>
      </c>
      <c r="E20" s="9">
        <f t="shared" si="2"/>
        <v>44301</v>
      </c>
      <c r="G20" s="21">
        <f>'Stocks Transaction'!I55</f>
        <v>27189.47</v>
      </c>
      <c r="H20" s="21">
        <f>'Stocks Transaction'!J55</f>
        <v>9296</v>
      </c>
      <c r="I20" s="21">
        <f>'Stocks Transaction'!I49</f>
        <v>29750</v>
      </c>
    </row>
    <row r="21">
      <c r="B21" s="7">
        <v>44301.0</v>
      </c>
      <c r="C21" s="8">
        <v>-499.0</v>
      </c>
      <c r="D21" s="8">
        <f t="shared" si="1"/>
        <v>6491</v>
      </c>
      <c r="E21" s="9">
        <f t="shared" si="2"/>
        <v>44301</v>
      </c>
      <c r="G21" s="16"/>
      <c r="J21" s="1" t="s">
        <v>17</v>
      </c>
    </row>
    <row r="22">
      <c r="B22" s="7">
        <v>44333.0</v>
      </c>
      <c r="C22" s="8">
        <v>-499.0</v>
      </c>
      <c r="D22" s="8">
        <f t="shared" si="1"/>
        <v>6990</v>
      </c>
      <c r="E22" s="9">
        <f t="shared" si="2"/>
        <v>44333</v>
      </c>
      <c r="F22" s="1" t="s">
        <v>18</v>
      </c>
      <c r="G22" s="8">
        <f t="shared" ref="G22:I22" si="3">G15+G20</f>
        <v>126947.47</v>
      </c>
      <c r="H22" s="8">
        <f t="shared" si="3"/>
        <v>44199</v>
      </c>
      <c r="I22" s="17">
        <f t="shared" si="3"/>
        <v>97418.99584</v>
      </c>
      <c r="J22" s="20">
        <f>H22+I22</f>
        <v>141617.9958</v>
      </c>
    </row>
    <row r="23">
      <c r="B23" s="7">
        <v>44333.0</v>
      </c>
      <c r="C23" s="8">
        <v>-499.0</v>
      </c>
      <c r="D23" s="8">
        <f t="shared" si="1"/>
        <v>7489</v>
      </c>
      <c r="E23" s="9">
        <f t="shared" si="2"/>
        <v>44333</v>
      </c>
      <c r="I23" s="1" t="s">
        <v>19</v>
      </c>
      <c r="J23" s="22">
        <f>(J22-G22)/G22</f>
        <v>0.1155637512</v>
      </c>
      <c r="O23" s="16"/>
    </row>
    <row r="24">
      <c r="B24" s="7">
        <v>44362.0</v>
      </c>
      <c r="C24" s="8">
        <v>-499.0</v>
      </c>
      <c r="D24" s="8">
        <f t="shared" si="1"/>
        <v>7988</v>
      </c>
      <c r="E24" s="9">
        <f t="shared" si="2"/>
        <v>44362</v>
      </c>
      <c r="F24" s="16"/>
      <c r="G24" s="23"/>
      <c r="H24" s="16"/>
      <c r="J24" s="16"/>
      <c r="K24" s="16"/>
      <c r="L24" s="24"/>
      <c r="M24" s="16"/>
      <c r="N24" s="16"/>
      <c r="O24" s="16"/>
    </row>
    <row r="25">
      <c r="B25" s="7">
        <v>44362.0</v>
      </c>
      <c r="C25" s="8">
        <v>-499.0</v>
      </c>
      <c r="D25" s="8">
        <f t="shared" si="1"/>
        <v>8487</v>
      </c>
      <c r="E25" s="9">
        <f t="shared" si="2"/>
        <v>44362</v>
      </c>
      <c r="F25" s="16"/>
      <c r="I25" s="23"/>
      <c r="L25" s="24"/>
      <c r="M25" s="16"/>
      <c r="N25" s="16"/>
      <c r="O25" s="16"/>
    </row>
    <row r="26">
      <c r="B26" s="7">
        <v>44376.0</v>
      </c>
      <c r="C26" s="8">
        <v>-3830.0</v>
      </c>
      <c r="D26" s="8">
        <f t="shared" si="1"/>
        <v>12317</v>
      </c>
      <c r="E26" s="9">
        <f t="shared" si="2"/>
        <v>44376</v>
      </c>
    </row>
    <row r="27">
      <c r="B27" s="7">
        <v>44376.0</v>
      </c>
      <c r="C27" s="25">
        <v>3830.0</v>
      </c>
      <c r="D27" s="8">
        <f t="shared" si="1"/>
        <v>8487</v>
      </c>
      <c r="E27" s="9">
        <f t="shared" si="2"/>
        <v>44376</v>
      </c>
    </row>
    <row r="28">
      <c r="B28" s="7">
        <v>44392.0</v>
      </c>
      <c r="C28" s="8">
        <v>-499.0</v>
      </c>
      <c r="D28" s="8">
        <f t="shared" si="1"/>
        <v>8986</v>
      </c>
      <c r="E28" s="9">
        <f t="shared" si="2"/>
        <v>44392</v>
      </c>
      <c r="I28" s="23"/>
      <c r="J28" s="16"/>
      <c r="K28" s="16"/>
      <c r="L28" s="24"/>
      <c r="M28" s="16"/>
    </row>
    <row r="29">
      <c r="B29" s="7">
        <v>44393.0</v>
      </c>
      <c r="C29" s="25">
        <v>1009.0</v>
      </c>
      <c r="D29" s="8">
        <f t="shared" si="1"/>
        <v>7977</v>
      </c>
      <c r="E29" s="9">
        <f t="shared" si="2"/>
        <v>44393</v>
      </c>
      <c r="I29" s="23"/>
      <c r="J29" s="16"/>
      <c r="K29" s="16"/>
      <c r="L29" s="24"/>
      <c r="M29" s="16"/>
      <c r="N29" s="16"/>
      <c r="O29" s="16"/>
    </row>
    <row r="30">
      <c r="B30" s="7">
        <v>44393.0</v>
      </c>
      <c r="C30" s="8">
        <v>-1009.0</v>
      </c>
      <c r="D30" s="8">
        <f t="shared" si="1"/>
        <v>8986</v>
      </c>
      <c r="E30" s="9">
        <f t="shared" si="2"/>
        <v>44393</v>
      </c>
      <c r="I30" s="23"/>
      <c r="J30" s="16"/>
      <c r="K30" s="16"/>
      <c r="L30" s="23"/>
      <c r="M30" s="16"/>
      <c r="N30" s="16"/>
      <c r="O30" s="16"/>
    </row>
    <row r="31">
      <c r="B31" s="7">
        <v>44393.0</v>
      </c>
      <c r="C31" s="8">
        <v>-499.0</v>
      </c>
      <c r="D31" s="8">
        <f t="shared" si="1"/>
        <v>9485</v>
      </c>
      <c r="E31" s="9">
        <f t="shared" si="2"/>
        <v>44393</v>
      </c>
      <c r="I31" s="23"/>
      <c r="J31" s="16"/>
      <c r="K31" s="16"/>
      <c r="L31" s="23"/>
      <c r="M31" s="16"/>
      <c r="N31" s="16"/>
      <c r="O31" s="16"/>
    </row>
    <row r="32">
      <c r="B32" s="7">
        <v>44393.0</v>
      </c>
      <c r="C32" s="8">
        <v>-499.0</v>
      </c>
      <c r="D32" s="8">
        <f t="shared" si="1"/>
        <v>9984</v>
      </c>
      <c r="E32" s="9">
        <f t="shared" si="2"/>
        <v>44393</v>
      </c>
      <c r="I32" s="23"/>
      <c r="J32" s="16"/>
      <c r="K32" s="16"/>
      <c r="L32" s="23"/>
      <c r="M32" s="16"/>
      <c r="N32" s="16"/>
      <c r="O32" s="16"/>
    </row>
    <row r="33">
      <c r="B33" s="7">
        <v>44393.0</v>
      </c>
      <c r="C33" s="8">
        <v>-499.0</v>
      </c>
      <c r="D33" s="8">
        <f t="shared" si="1"/>
        <v>10483</v>
      </c>
      <c r="E33" s="9">
        <f t="shared" si="2"/>
        <v>44393</v>
      </c>
      <c r="I33" s="23"/>
      <c r="J33" s="16"/>
      <c r="K33" s="16"/>
      <c r="L33" s="23"/>
      <c r="M33" s="16"/>
      <c r="N33" s="16"/>
      <c r="O33" s="16"/>
    </row>
    <row r="34">
      <c r="B34" s="7">
        <v>44420.0</v>
      </c>
      <c r="C34" s="8">
        <v>-199.0</v>
      </c>
      <c r="D34" s="8">
        <f t="shared" si="1"/>
        <v>10682</v>
      </c>
      <c r="E34" s="9">
        <f t="shared" si="2"/>
        <v>44420</v>
      </c>
      <c r="I34" s="23"/>
      <c r="J34" s="16"/>
      <c r="K34" s="16"/>
      <c r="L34" s="23"/>
      <c r="M34" s="16"/>
      <c r="N34" s="16"/>
      <c r="O34" s="16"/>
    </row>
    <row r="35">
      <c r="B35" s="7">
        <v>44424.0</v>
      </c>
      <c r="C35" s="8">
        <v>-499.0</v>
      </c>
      <c r="D35" s="8">
        <f t="shared" si="1"/>
        <v>11181</v>
      </c>
      <c r="E35" s="9">
        <f t="shared" si="2"/>
        <v>44424</v>
      </c>
      <c r="I35" s="24"/>
      <c r="J35" s="16"/>
      <c r="K35" s="16"/>
      <c r="L35" s="23"/>
      <c r="M35" s="16"/>
      <c r="N35" s="16"/>
      <c r="O35" s="16"/>
    </row>
    <row r="36">
      <c r="B36" s="7">
        <v>44424.0</v>
      </c>
      <c r="C36" s="8">
        <v>-499.0</v>
      </c>
      <c r="D36" s="8">
        <f t="shared" si="1"/>
        <v>11680</v>
      </c>
      <c r="E36" s="9">
        <f t="shared" si="2"/>
        <v>44424</v>
      </c>
      <c r="F36" s="16"/>
      <c r="G36" s="16"/>
      <c r="H36" s="16"/>
      <c r="I36" s="24"/>
      <c r="J36" s="16"/>
      <c r="K36" s="16"/>
      <c r="L36" s="23"/>
      <c r="M36" s="16"/>
      <c r="N36" s="16"/>
      <c r="O36" s="16"/>
    </row>
    <row r="37">
      <c r="B37" s="7">
        <v>44424.0</v>
      </c>
      <c r="C37" s="8">
        <v>-499.0</v>
      </c>
      <c r="D37" s="8">
        <f t="shared" si="1"/>
        <v>12179</v>
      </c>
      <c r="E37" s="9">
        <f t="shared" si="2"/>
        <v>44424</v>
      </c>
      <c r="F37" s="16"/>
      <c r="G37" s="16"/>
      <c r="H37" s="16"/>
      <c r="I37" s="24"/>
      <c r="J37" s="16"/>
      <c r="K37" s="16"/>
      <c r="L37" s="23"/>
      <c r="M37" s="16"/>
      <c r="N37" s="16"/>
      <c r="O37" s="16"/>
    </row>
    <row r="38">
      <c r="B38" s="7">
        <v>44454.0</v>
      </c>
      <c r="C38" s="8">
        <v>-199.0</v>
      </c>
      <c r="D38" s="8">
        <f t="shared" si="1"/>
        <v>12378</v>
      </c>
      <c r="E38" s="9">
        <f t="shared" si="2"/>
        <v>44454</v>
      </c>
      <c r="F38" s="16"/>
      <c r="G38" s="16"/>
      <c r="H38" s="16"/>
      <c r="I38" s="23"/>
      <c r="J38" s="16"/>
      <c r="K38" s="16"/>
      <c r="L38" s="23"/>
      <c r="M38" s="16"/>
      <c r="N38" s="16"/>
      <c r="O38" s="16"/>
    </row>
    <row r="39">
      <c r="B39" s="7">
        <v>44454.0</v>
      </c>
      <c r="C39" s="8">
        <v>-499.0</v>
      </c>
      <c r="D39" s="8">
        <f t="shared" si="1"/>
        <v>12877</v>
      </c>
      <c r="E39" s="9">
        <f t="shared" si="2"/>
        <v>44454</v>
      </c>
      <c r="F39" s="16"/>
      <c r="G39" s="16"/>
      <c r="H39" s="16"/>
      <c r="I39" s="23"/>
      <c r="J39" s="16"/>
      <c r="K39" s="16"/>
      <c r="L39" s="23"/>
      <c r="M39" s="16"/>
      <c r="N39" s="16"/>
      <c r="O39" s="16"/>
    </row>
    <row r="40">
      <c r="B40" s="7">
        <v>44454.0</v>
      </c>
      <c r="C40" s="8">
        <v>-499.0</v>
      </c>
      <c r="D40" s="8">
        <f t="shared" si="1"/>
        <v>13376</v>
      </c>
      <c r="E40" s="9">
        <f t="shared" si="2"/>
        <v>44454</v>
      </c>
      <c r="F40" s="16"/>
    </row>
    <row r="41">
      <c r="B41" s="7">
        <v>44454.0</v>
      </c>
      <c r="C41" s="8">
        <v>-499.0</v>
      </c>
      <c r="D41" s="8">
        <f t="shared" si="1"/>
        <v>13875</v>
      </c>
      <c r="E41" s="9">
        <f t="shared" si="2"/>
        <v>44454</v>
      </c>
      <c r="F41" s="16"/>
    </row>
    <row r="42">
      <c r="B42" s="7">
        <v>44487.0</v>
      </c>
      <c r="C42" s="8">
        <v>-499.0</v>
      </c>
      <c r="D42" s="8">
        <f t="shared" si="1"/>
        <v>14374</v>
      </c>
      <c r="E42" s="9">
        <f t="shared" si="2"/>
        <v>44487</v>
      </c>
      <c r="F42" s="16"/>
    </row>
    <row r="43">
      <c r="B43" s="7">
        <v>44487.0</v>
      </c>
      <c r="C43" s="8">
        <v>-499.0</v>
      </c>
      <c r="D43" s="8">
        <f t="shared" si="1"/>
        <v>14873</v>
      </c>
      <c r="E43" s="9">
        <f t="shared" si="2"/>
        <v>44487</v>
      </c>
      <c r="O43" s="18"/>
    </row>
    <row r="44">
      <c r="B44" s="7">
        <v>44487.0</v>
      </c>
      <c r="C44" s="8">
        <v>-199.0</v>
      </c>
      <c r="D44" s="8">
        <f t="shared" si="1"/>
        <v>15072</v>
      </c>
      <c r="E44" s="9">
        <f t="shared" si="2"/>
        <v>44487</v>
      </c>
      <c r="O44" s="18"/>
    </row>
    <row r="45">
      <c r="B45" s="7">
        <v>44487.0</v>
      </c>
      <c r="C45" s="8">
        <v>-499.0</v>
      </c>
      <c r="D45" s="8">
        <f t="shared" si="1"/>
        <v>15571</v>
      </c>
      <c r="E45" s="9">
        <f t="shared" si="2"/>
        <v>44487</v>
      </c>
    </row>
    <row r="46">
      <c r="B46" s="7">
        <v>44515.0</v>
      </c>
      <c r="C46" s="8">
        <v>-499.0</v>
      </c>
      <c r="D46" s="8">
        <f t="shared" si="1"/>
        <v>16070</v>
      </c>
      <c r="E46" s="9">
        <f t="shared" si="2"/>
        <v>44515</v>
      </c>
    </row>
    <row r="47">
      <c r="B47" s="7">
        <v>44515.0</v>
      </c>
      <c r="C47" s="8">
        <v>-199.0</v>
      </c>
      <c r="D47" s="8">
        <f t="shared" si="1"/>
        <v>16269</v>
      </c>
      <c r="E47" s="9">
        <f t="shared" si="2"/>
        <v>44515</v>
      </c>
    </row>
    <row r="48">
      <c r="B48" s="7">
        <v>44515.0</v>
      </c>
      <c r="C48" s="8">
        <v>-499.0</v>
      </c>
      <c r="D48" s="8">
        <f t="shared" si="1"/>
        <v>16768</v>
      </c>
      <c r="E48" s="9">
        <f t="shared" si="2"/>
        <v>44515</v>
      </c>
      <c r="G48" s="26" t="s">
        <v>20</v>
      </c>
      <c r="J48" s="16"/>
      <c r="K48" s="16"/>
    </row>
    <row r="49">
      <c r="B49" s="7">
        <v>44515.0</v>
      </c>
      <c r="C49" s="8">
        <v>-499.0</v>
      </c>
      <c r="D49" s="8">
        <f t="shared" si="1"/>
        <v>17267</v>
      </c>
      <c r="E49" s="9">
        <f t="shared" si="2"/>
        <v>44515</v>
      </c>
      <c r="G49" s="27" t="s">
        <v>21</v>
      </c>
      <c r="I49" s="23"/>
    </row>
    <row r="50">
      <c r="B50" s="7">
        <v>44524.0</v>
      </c>
      <c r="C50" s="8">
        <v>-7955.0</v>
      </c>
      <c r="D50" s="8">
        <f t="shared" si="1"/>
        <v>25222</v>
      </c>
      <c r="E50" s="9">
        <f t="shared" si="2"/>
        <v>44524</v>
      </c>
      <c r="G50" s="27" t="s">
        <v>22</v>
      </c>
    </row>
    <row r="51">
      <c r="B51" s="7">
        <v>44524.0</v>
      </c>
      <c r="C51" s="25">
        <v>1024.0</v>
      </c>
      <c r="D51" s="8">
        <f t="shared" si="1"/>
        <v>24198</v>
      </c>
      <c r="E51" s="9">
        <f t="shared" si="2"/>
        <v>44524</v>
      </c>
      <c r="G51" s="27" t="s">
        <v>23</v>
      </c>
      <c r="N51" s="16"/>
    </row>
    <row r="52">
      <c r="B52" s="7">
        <v>44524.0</v>
      </c>
      <c r="C52" s="25">
        <v>7955.0</v>
      </c>
      <c r="D52" s="8">
        <f t="shared" si="1"/>
        <v>16243</v>
      </c>
      <c r="E52" s="9">
        <f t="shared" si="2"/>
        <v>44524</v>
      </c>
      <c r="G52" s="27" t="s">
        <v>24</v>
      </c>
      <c r="N52" s="16"/>
    </row>
    <row r="53">
      <c r="B53" s="7">
        <v>44526.0</v>
      </c>
      <c r="C53" s="8">
        <v>-1023.0</v>
      </c>
      <c r="D53" s="8">
        <f t="shared" si="1"/>
        <v>17266</v>
      </c>
      <c r="E53" s="9">
        <f t="shared" si="2"/>
        <v>44526</v>
      </c>
      <c r="G53" s="27" t="s">
        <v>25</v>
      </c>
    </row>
    <row r="54">
      <c r="B54" s="7">
        <v>44543.0</v>
      </c>
      <c r="C54" s="8">
        <v>-499.0</v>
      </c>
      <c r="D54" s="8">
        <f t="shared" si="1"/>
        <v>17765</v>
      </c>
      <c r="E54" s="9">
        <f t="shared" si="2"/>
        <v>44543</v>
      </c>
      <c r="G54" s="27" t="s">
        <v>26</v>
      </c>
    </row>
    <row r="55">
      <c r="B55" s="7">
        <v>44545.0</v>
      </c>
      <c r="C55" s="8">
        <v>-499.0</v>
      </c>
      <c r="D55" s="8">
        <f t="shared" si="1"/>
        <v>18264</v>
      </c>
      <c r="E55" s="9">
        <f t="shared" si="2"/>
        <v>44545</v>
      </c>
      <c r="G55" s="27" t="s">
        <v>27</v>
      </c>
    </row>
    <row r="56">
      <c r="B56" s="7">
        <v>44545.0</v>
      </c>
      <c r="C56" s="8">
        <v>-199.0</v>
      </c>
      <c r="D56" s="8">
        <f t="shared" si="1"/>
        <v>18463</v>
      </c>
      <c r="E56" s="9">
        <f t="shared" si="2"/>
        <v>44545</v>
      </c>
    </row>
    <row r="57">
      <c r="B57" s="7">
        <v>44545.0</v>
      </c>
      <c r="C57" s="8">
        <v>-499.0</v>
      </c>
      <c r="D57" s="8">
        <f t="shared" si="1"/>
        <v>18962</v>
      </c>
      <c r="E57" s="9">
        <f t="shared" si="2"/>
        <v>44545</v>
      </c>
    </row>
    <row r="58">
      <c r="B58" s="7">
        <v>44578.0</v>
      </c>
      <c r="C58" s="8">
        <v>-499.0</v>
      </c>
      <c r="D58" s="8">
        <f t="shared" si="1"/>
        <v>19461</v>
      </c>
      <c r="E58" s="9">
        <f t="shared" si="2"/>
        <v>44578</v>
      </c>
    </row>
    <row r="59">
      <c r="B59" s="7">
        <v>44578.0</v>
      </c>
      <c r="C59" s="8">
        <v>-499.0</v>
      </c>
      <c r="D59" s="8">
        <f t="shared" si="1"/>
        <v>19960</v>
      </c>
      <c r="E59" s="9">
        <f t="shared" si="2"/>
        <v>44578</v>
      </c>
    </row>
    <row r="60">
      <c r="B60" s="7">
        <v>44578.0</v>
      </c>
      <c r="C60" s="8">
        <v>-499.0</v>
      </c>
      <c r="D60" s="8">
        <f t="shared" si="1"/>
        <v>20459</v>
      </c>
      <c r="E60" s="9">
        <f t="shared" si="2"/>
        <v>44578</v>
      </c>
    </row>
    <row r="61">
      <c r="B61" s="7">
        <v>44578.0</v>
      </c>
      <c r="C61" s="8">
        <v>-199.0</v>
      </c>
      <c r="D61" s="8">
        <f t="shared" si="1"/>
        <v>20658</v>
      </c>
      <c r="E61" s="9">
        <f t="shared" si="2"/>
        <v>44578</v>
      </c>
    </row>
    <row r="62">
      <c r="B62" s="7">
        <v>44607.0</v>
      </c>
      <c r="C62" s="8">
        <v>-499.0</v>
      </c>
      <c r="D62" s="8">
        <f t="shared" si="1"/>
        <v>21157</v>
      </c>
      <c r="E62" s="9">
        <f t="shared" si="2"/>
        <v>44607</v>
      </c>
    </row>
    <row r="63">
      <c r="B63" s="7">
        <v>44607.0</v>
      </c>
      <c r="C63" s="8">
        <v>-499.0</v>
      </c>
      <c r="D63" s="8">
        <f t="shared" si="1"/>
        <v>21656</v>
      </c>
      <c r="E63" s="9">
        <f t="shared" si="2"/>
        <v>44607</v>
      </c>
    </row>
    <row r="64">
      <c r="B64" s="7">
        <v>44607.0</v>
      </c>
      <c r="C64" s="8">
        <v>-199.0</v>
      </c>
      <c r="D64" s="8">
        <f t="shared" si="1"/>
        <v>21855</v>
      </c>
      <c r="E64" s="9">
        <f t="shared" si="2"/>
        <v>44607</v>
      </c>
    </row>
    <row r="65">
      <c r="B65" s="7">
        <v>44607.0</v>
      </c>
      <c r="C65" s="8">
        <v>-499.0</v>
      </c>
      <c r="D65" s="8">
        <f t="shared" si="1"/>
        <v>22354</v>
      </c>
      <c r="E65" s="9">
        <f t="shared" si="2"/>
        <v>44607</v>
      </c>
    </row>
    <row r="66">
      <c r="B66" s="7">
        <v>44635.0</v>
      </c>
      <c r="C66" s="8">
        <v>-499.0</v>
      </c>
      <c r="D66" s="8">
        <f t="shared" si="1"/>
        <v>22853</v>
      </c>
      <c r="E66" s="9">
        <f t="shared" si="2"/>
        <v>44635</v>
      </c>
    </row>
    <row r="67">
      <c r="B67" s="7">
        <v>44635.0</v>
      </c>
      <c r="C67" s="8">
        <v>-199.0</v>
      </c>
      <c r="D67" s="8">
        <f t="shared" si="1"/>
        <v>23052</v>
      </c>
      <c r="E67" s="9">
        <f t="shared" si="2"/>
        <v>44635</v>
      </c>
    </row>
    <row r="68">
      <c r="B68" s="7">
        <v>44635.0</v>
      </c>
      <c r="C68" s="8">
        <v>-499.0</v>
      </c>
      <c r="D68" s="8">
        <f t="shared" si="1"/>
        <v>23551</v>
      </c>
      <c r="E68" s="9">
        <f t="shared" si="2"/>
        <v>44635</v>
      </c>
    </row>
    <row r="69">
      <c r="B69" s="7">
        <v>44635.0</v>
      </c>
      <c r="C69" s="8">
        <v>-499.0</v>
      </c>
      <c r="D69" s="8">
        <f t="shared" si="1"/>
        <v>24050</v>
      </c>
      <c r="E69" s="9">
        <f t="shared" si="2"/>
        <v>44635</v>
      </c>
    </row>
    <row r="70">
      <c r="B70" s="7">
        <v>44669.0</v>
      </c>
      <c r="C70" s="8">
        <v>-199.0</v>
      </c>
      <c r="D70" s="8">
        <f t="shared" si="1"/>
        <v>24249</v>
      </c>
      <c r="E70" s="9">
        <f t="shared" si="2"/>
        <v>44669</v>
      </c>
    </row>
    <row r="71">
      <c r="B71" s="7">
        <v>44669.0</v>
      </c>
      <c r="C71" s="8">
        <v>-499.0</v>
      </c>
      <c r="D71" s="8">
        <f t="shared" si="1"/>
        <v>24748</v>
      </c>
      <c r="E71" s="9">
        <f t="shared" si="2"/>
        <v>44669</v>
      </c>
    </row>
    <row r="72">
      <c r="B72" s="7">
        <v>44669.0</v>
      </c>
      <c r="C72" s="8">
        <v>-499.0</v>
      </c>
      <c r="D72" s="8">
        <f t="shared" si="1"/>
        <v>25247</v>
      </c>
      <c r="E72" s="9">
        <f t="shared" si="2"/>
        <v>44669</v>
      </c>
    </row>
    <row r="73">
      <c r="B73" s="7">
        <v>44697.0</v>
      </c>
      <c r="C73" s="8">
        <v>-499.0</v>
      </c>
      <c r="D73" s="8">
        <f t="shared" si="1"/>
        <v>25746</v>
      </c>
      <c r="E73" s="9">
        <f t="shared" si="2"/>
        <v>44697</v>
      </c>
    </row>
    <row r="74">
      <c r="B74" s="7">
        <v>44697.0</v>
      </c>
      <c r="C74" s="8">
        <v>-199.0</v>
      </c>
      <c r="D74" s="8">
        <f t="shared" si="1"/>
        <v>25945</v>
      </c>
      <c r="E74" s="9">
        <f t="shared" si="2"/>
        <v>44697</v>
      </c>
    </row>
    <row r="75">
      <c r="B75" s="7">
        <v>44697.0</v>
      </c>
      <c r="C75" s="8">
        <v>-499.0</v>
      </c>
      <c r="D75" s="8">
        <f t="shared" si="1"/>
        <v>26444</v>
      </c>
      <c r="E75" s="9">
        <f t="shared" si="2"/>
        <v>44697</v>
      </c>
    </row>
    <row r="76">
      <c r="B76" s="7">
        <v>44727.0</v>
      </c>
      <c r="C76" s="8">
        <v>-199.0</v>
      </c>
      <c r="D76" s="8">
        <f t="shared" si="1"/>
        <v>26643</v>
      </c>
      <c r="E76" s="9">
        <f t="shared" si="2"/>
        <v>44727</v>
      </c>
    </row>
    <row r="77">
      <c r="B77" s="7">
        <v>44727.0</v>
      </c>
      <c r="C77" s="8">
        <v>-499.0</v>
      </c>
      <c r="D77" s="8">
        <f t="shared" si="1"/>
        <v>27142</v>
      </c>
      <c r="E77" s="9">
        <f t="shared" si="2"/>
        <v>44727</v>
      </c>
    </row>
    <row r="78">
      <c r="B78" s="7">
        <v>44727.0</v>
      </c>
      <c r="C78" s="8">
        <v>-499.0</v>
      </c>
      <c r="D78" s="8">
        <f t="shared" si="1"/>
        <v>27641</v>
      </c>
      <c r="E78" s="9">
        <f t="shared" si="2"/>
        <v>44727</v>
      </c>
    </row>
    <row r="79">
      <c r="B79" s="7">
        <v>44741.0</v>
      </c>
      <c r="C79" s="8">
        <v>-742.0</v>
      </c>
      <c r="D79" s="8">
        <f t="shared" si="1"/>
        <v>28383</v>
      </c>
      <c r="E79" s="9">
        <f t="shared" si="2"/>
        <v>44741</v>
      </c>
    </row>
    <row r="80">
      <c r="B80" s="28">
        <v>44741.0</v>
      </c>
      <c r="C80" s="29">
        <v>-721.6</v>
      </c>
      <c r="D80" s="8">
        <f t="shared" si="1"/>
        <v>29104.6</v>
      </c>
      <c r="E80" s="23">
        <f t="shared" si="2"/>
        <v>44741</v>
      </c>
    </row>
    <row r="81">
      <c r="B81" s="7">
        <v>44750.0</v>
      </c>
      <c r="C81" s="8">
        <v>-999.0</v>
      </c>
      <c r="D81" s="8">
        <f t="shared" si="1"/>
        <v>30103.6</v>
      </c>
      <c r="E81" s="9">
        <f t="shared" si="2"/>
        <v>44750</v>
      </c>
    </row>
    <row r="82">
      <c r="B82" s="28">
        <v>44750.0</v>
      </c>
      <c r="C82" s="29">
        <v>-469.9</v>
      </c>
      <c r="D82" s="8">
        <f t="shared" si="1"/>
        <v>30573.5</v>
      </c>
      <c r="E82" s="23">
        <f t="shared" si="2"/>
        <v>44750</v>
      </c>
    </row>
    <row r="83">
      <c r="B83" s="7">
        <v>44760.0</v>
      </c>
      <c r="C83" s="8">
        <v>-199.0</v>
      </c>
      <c r="D83" s="8">
        <f t="shared" si="1"/>
        <v>30772.5</v>
      </c>
      <c r="E83" s="9">
        <f t="shared" si="2"/>
        <v>44760</v>
      </c>
    </row>
    <row r="84">
      <c r="B84" s="7">
        <v>44760.0</v>
      </c>
      <c r="C84" s="8">
        <v>-499.0</v>
      </c>
      <c r="D84" s="8">
        <f t="shared" si="1"/>
        <v>31271.5</v>
      </c>
      <c r="E84" s="9">
        <f t="shared" si="2"/>
        <v>44760</v>
      </c>
    </row>
    <row r="85">
      <c r="B85" s="7">
        <v>44760.0</v>
      </c>
      <c r="C85" s="8">
        <v>-499.0</v>
      </c>
      <c r="D85" s="8">
        <f t="shared" si="1"/>
        <v>31770.5</v>
      </c>
      <c r="E85" s="9">
        <f t="shared" si="2"/>
        <v>44760</v>
      </c>
    </row>
    <row r="86">
      <c r="B86" s="28">
        <v>44760.0</v>
      </c>
      <c r="C86" s="29">
        <v>-566.28</v>
      </c>
      <c r="D86" s="8">
        <f t="shared" si="1"/>
        <v>32336.78</v>
      </c>
      <c r="E86" s="23">
        <f t="shared" si="2"/>
        <v>44760</v>
      </c>
    </row>
    <row r="87">
      <c r="B87" s="7">
        <v>44789.0</v>
      </c>
      <c r="C87" s="8">
        <v>-499.0</v>
      </c>
      <c r="D87" s="8">
        <f t="shared" si="1"/>
        <v>32835.78</v>
      </c>
      <c r="E87" s="9">
        <f t="shared" si="2"/>
        <v>44789</v>
      </c>
    </row>
    <row r="88">
      <c r="B88" s="7">
        <v>44789.0</v>
      </c>
      <c r="C88" s="8">
        <v>-199.0</v>
      </c>
      <c r="D88" s="8">
        <f t="shared" si="1"/>
        <v>33034.78</v>
      </c>
      <c r="E88" s="9">
        <f t="shared" si="2"/>
        <v>44789</v>
      </c>
    </row>
    <row r="89">
      <c r="B89" s="7">
        <v>44790.0</v>
      </c>
      <c r="C89" s="8">
        <v>-499.0</v>
      </c>
      <c r="D89" s="8">
        <f t="shared" si="1"/>
        <v>33533.78</v>
      </c>
      <c r="E89" s="9">
        <f t="shared" si="2"/>
        <v>44790</v>
      </c>
    </row>
    <row r="90">
      <c r="B90" s="28">
        <v>44792.0</v>
      </c>
      <c r="C90" s="29">
        <v>-523.1</v>
      </c>
      <c r="D90" s="8">
        <f t="shared" si="1"/>
        <v>34056.88</v>
      </c>
      <c r="E90" s="23">
        <f t="shared" si="2"/>
        <v>44792</v>
      </c>
    </row>
    <row r="91">
      <c r="B91" s="7">
        <v>44816.0</v>
      </c>
      <c r="C91" s="29">
        <v>-491.65</v>
      </c>
      <c r="D91" s="8">
        <f t="shared" si="1"/>
        <v>34548.53</v>
      </c>
      <c r="E91" s="9">
        <f t="shared" si="2"/>
        <v>44816</v>
      </c>
    </row>
    <row r="92">
      <c r="B92" s="7">
        <v>44819.0</v>
      </c>
      <c r="C92" s="8">
        <v>-499.0</v>
      </c>
      <c r="D92" s="8">
        <f t="shared" si="1"/>
        <v>35047.53</v>
      </c>
      <c r="E92" s="9">
        <f t="shared" si="2"/>
        <v>44819</v>
      </c>
    </row>
    <row r="93">
      <c r="B93" s="7">
        <v>44819.0</v>
      </c>
      <c r="C93" s="8">
        <v>-199.0</v>
      </c>
      <c r="D93" s="8">
        <f t="shared" si="1"/>
        <v>35246.53</v>
      </c>
      <c r="E93" s="9">
        <f t="shared" si="2"/>
        <v>44819</v>
      </c>
    </row>
    <row r="94">
      <c r="B94" s="7">
        <v>44819.0</v>
      </c>
      <c r="C94" s="8">
        <v>-499.0</v>
      </c>
      <c r="D94" s="8">
        <f t="shared" si="1"/>
        <v>35745.53</v>
      </c>
      <c r="E94" s="9">
        <f t="shared" si="2"/>
        <v>44819</v>
      </c>
    </row>
    <row r="95">
      <c r="B95" s="7">
        <v>44844.0</v>
      </c>
      <c r="C95" s="29">
        <v>-457.35</v>
      </c>
      <c r="D95" s="8">
        <f t="shared" si="1"/>
        <v>36202.88</v>
      </c>
      <c r="E95" s="9">
        <f t="shared" si="2"/>
        <v>44844</v>
      </c>
    </row>
    <row r="96">
      <c r="B96" s="7">
        <v>44851.0</v>
      </c>
      <c r="C96" s="8">
        <v>-499.0</v>
      </c>
      <c r="D96" s="8">
        <f t="shared" si="1"/>
        <v>36701.88</v>
      </c>
      <c r="E96" s="9">
        <f t="shared" si="2"/>
        <v>44851</v>
      </c>
    </row>
    <row r="97">
      <c r="B97" s="7">
        <v>44851.0</v>
      </c>
      <c r="C97" s="8">
        <v>-199.0</v>
      </c>
      <c r="D97" s="8">
        <f t="shared" si="1"/>
        <v>36900.88</v>
      </c>
      <c r="E97" s="9">
        <f t="shared" si="2"/>
        <v>44851</v>
      </c>
    </row>
    <row r="98">
      <c r="B98" s="7">
        <v>44851.0</v>
      </c>
      <c r="C98" s="8">
        <v>-499.0</v>
      </c>
      <c r="D98" s="8">
        <f t="shared" si="1"/>
        <v>37399.88</v>
      </c>
      <c r="E98" s="9">
        <f t="shared" si="2"/>
        <v>44851</v>
      </c>
    </row>
    <row r="99">
      <c r="B99" s="7">
        <v>44880.0</v>
      </c>
      <c r="C99" s="8">
        <v>-499.0</v>
      </c>
      <c r="D99" s="8">
        <f t="shared" si="1"/>
        <v>37898.88</v>
      </c>
      <c r="E99" s="9">
        <f t="shared" si="2"/>
        <v>44880</v>
      </c>
    </row>
    <row r="100">
      <c r="B100" s="7">
        <v>44880.0</v>
      </c>
      <c r="C100" s="8">
        <v>-499.0</v>
      </c>
      <c r="D100" s="8">
        <f t="shared" si="1"/>
        <v>38397.88</v>
      </c>
      <c r="E100" s="9">
        <f t="shared" si="2"/>
        <v>44880</v>
      </c>
    </row>
    <row r="101">
      <c r="B101" s="7">
        <v>44880.0</v>
      </c>
      <c r="C101" s="8">
        <v>-199.0</v>
      </c>
      <c r="D101" s="8">
        <f t="shared" si="1"/>
        <v>38596.88</v>
      </c>
      <c r="E101" s="9">
        <f t="shared" si="2"/>
        <v>44880</v>
      </c>
    </row>
    <row r="102">
      <c r="B102" s="7">
        <v>44882.0</v>
      </c>
      <c r="C102" s="29">
        <v>-465.05</v>
      </c>
      <c r="D102" s="8">
        <f t="shared" si="1"/>
        <v>39061.93</v>
      </c>
      <c r="E102" s="9">
        <f t="shared" si="2"/>
        <v>44882</v>
      </c>
    </row>
    <row r="103">
      <c r="B103" s="7">
        <v>44910.0</v>
      </c>
      <c r="C103" s="8">
        <v>-499.0</v>
      </c>
      <c r="D103" s="8">
        <f t="shared" si="1"/>
        <v>39560.93</v>
      </c>
      <c r="E103" s="9">
        <f t="shared" si="2"/>
        <v>44910</v>
      </c>
    </row>
    <row r="104">
      <c r="B104" s="7">
        <v>44910.0</v>
      </c>
      <c r="C104" s="8">
        <v>-199.0</v>
      </c>
      <c r="D104" s="8">
        <f t="shared" si="1"/>
        <v>39759.93</v>
      </c>
      <c r="E104" s="9">
        <f t="shared" si="2"/>
        <v>44910</v>
      </c>
    </row>
    <row r="105">
      <c r="B105" s="7">
        <v>44910.0</v>
      </c>
      <c r="C105" s="8">
        <v>-499.0</v>
      </c>
      <c r="D105" s="8">
        <f t="shared" si="1"/>
        <v>40258.93</v>
      </c>
      <c r="E105" s="9">
        <f t="shared" si="2"/>
        <v>44910</v>
      </c>
    </row>
    <row r="106">
      <c r="B106" s="7">
        <v>44914.0</v>
      </c>
      <c r="C106" s="29">
        <v>-556.92</v>
      </c>
      <c r="D106" s="8">
        <f t="shared" si="1"/>
        <v>40815.85</v>
      </c>
      <c r="E106" s="9">
        <f t="shared" si="2"/>
        <v>44914</v>
      </c>
    </row>
    <row r="107">
      <c r="B107" s="7">
        <v>44942.0</v>
      </c>
      <c r="C107" s="8">
        <v>-499.0</v>
      </c>
      <c r="D107" s="8">
        <f t="shared" si="1"/>
        <v>41314.85</v>
      </c>
      <c r="E107" s="9">
        <f t="shared" si="2"/>
        <v>44942</v>
      </c>
    </row>
    <row r="108">
      <c r="B108" s="7">
        <v>44942.0</v>
      </c>
      <c r="C108" s="8">
        <v>-499.0</v>
      </c>
      <c r="D108" s="8">
        <f t="shared" si="1"/>
        <v>41813.85</v>
      </c>
      <c r="E108" s="9">
        <f t="shared" si="2"/>
        <v>44942</v>
      </c>
    </row>
    <row r="109">
      <c r="B109" s="7">
        <v>44942.0</v>
      </c>
      <c r="C109" s="8">
        <v>-499.0</v>
      </c>
      <c r="D109" s="8">
        <f t="shared" si="1"/>
        <v>42312.85</v>
      </c>
      <c r="E109" s="9">
        <f t="shared" si="2"/>
        <v>44942</v>
      </c>
    </row>
    <row r="110">
      <c r="B110" s="7">
        <v>44942.0</v>
      </c>
      <c r="C110" s="8">
        <v>-199.0</v>
      </c>
      <c r="D110" s="8">
        <f t="shared" si="1"/>
        <v>42511.85</v>
      </c>
      <c r="E110" s="9">
        <f t="shared" si="2"/>
        <v>44942</v>
      </c>
    </row>
    <row r="111">
      <c r="B111" s="7">
        <v>44960.0</v>
      </c>
      <c r="C111" s="8">
        <v>-999.0</v>
      </c>
      <c r="D111" s="8">
        <f t="shared" si="1"/>
        <v>43510.85</v>
      </c>
      <c r="E111" s="9">
        <f t="shared" si="2"/>
        <v>44960</v>
      </c>
    </row>
    <row r="112">
      <c r="B112" s="7">
        <v>44960.0</v>
      </c>
      <c r="C112" s="8">
        <v>-100.0</v>
      </c>
      <c r="D112" s="8">
        <f t="shared" si="1"/>
        <v>43610.85</v>
      </c>
      <c r="E112" s="9">
        <f t="shared" si="2"/>
        <v>44960</v>
      </c>
    </row>
    <row r="113">
      <c r="B113" s="7">
        <v>44960.0</v>
      </c>
      <c r="C113" s="29">
        <v>-999.6</v>
      </c>
      <c r="D113" s="8">
        <f t="shared" si="1"/>
        <v>44610.45</v>
      </c>
      <c r="E113" s="9">
        <f t="shared" si="2"/>
        <v>44960</v>
      </c>
    </row>
    <row r="114">
      <c r="B114" s="7">
        <v>44965.0</v>
      </c>
      <c r="C114" s="29">
        <v>-918.09</v>
      </c>
      <c r="D114" s="8">
        <f t="shared" si="1"/>
        <v>45528.54</v>
      </c>
      <c r="E114" s="9">
        <f t="shared" si="2"/>
        <v>44965</v>
      </c>
    </row>
    <row r="115">
      <c r="B115" s="7">
        <v>44972.0</v>
      </c>
      <c r="C115" s="8">
        <v>-499.0</v>
      </c>
      <c r="D115" s="8">
        <f t="shared" si="1"/>
        <v>46027.54</v>
      </c>
      <c r="E115" s="9">
        <f t="shared" si="2"/>
        <v>44972</v>
      </c>
    </row>
    <row r="116">
      <c r="B116" s="7">
        <v>44972.0</v>
      </c>
      <c r="C116" s="8">
        <v>-499.0</v>
      </c>
      <c r="D116" s="8">
        <f t="shared" si="1"/>
        <v>46526.54</v>
      </c>
      <c r="E116" s="9">
        <f t="shared" si="2"/>
        <v>44972</v>
      </c>
    </row>
    <row r="117">
      <c r="B117" s="7">
        <v>44972.0</v>
      </c>
      <c r="C117" s="8">
        <v>-199.0</v>
      </c>
      <c r="D117" s="8">
        <f t="shared" si="1"/>
        <v>46725.54</v>
      </c>
      <c r="E117" s="9">
        <f t="shared" si="2"/>
        <v>44972</v>
      </c>
    </row>
    <row r="118">
      <c r="B118" s="7">
        <v>44972.0</v>
      </c>
      <c r="C118" s="8">
        <v>-499.0</v>
      </c>
      <c r="D118" s="8">
        <f t="shared" si="1"/>
        <v>47224.54</v>
      </c>
      <c r="E118" s="9">
        <f t="shared" si="2"/>
        <v>44972</v>
      </c>
    </row>
    <row r="119">
      <c r="B119" s="7">
        <v>44977.0</v>
      </c>
      <c r="C119" s="8">
        <v>-199.0</v>
      </c>
      <c r="D119" s="8">
        <f t="shared" si="1"/>
        <v>47423.54</v>
      </c>
      <c r="E119" s="9">
        <f t="shared" si="2"/>
        <v>44977</v>
      </c>
    </row>
    <row r="120">
      <c r="B120" s="7">
        <v>45000.0</v>
      </c>
      <c r="C120" s="8">
        <v>-199.0</v>
      </c>
      <c r="D120" s="8">
        <f t="shared" si="1"/>
        <v>47622.54</v>
      </c>
      <c r="E120" s="9">
        <f t="shared" si="2"/>
        <v>45000</v>
      </c>
    </row>
    <row r="121">
      <c r="B121" s="7">
        <v>45000.0</v>
      </c>
      <c r="C121" s="8">
        <v>-499.0</v>
      </c>
      <c r="D121" s="8">
        <f t="shared" si="1"/>
        <v>48121.54</v>
      </c>
      <c r="E121" s="9">
        <f t="shared" si="2"/>
        <v>45000</v>
      </c>
    </row>
    <row r="122">
      <c r="B122" s="7">
        <v>45000.0</v>
      </c>
      <c r="C122" s="8">
        <v>-100.0</v>
      </c>
      <c r="D122" s="8">
        <f t="shared" si="1"/>
        <v>48221.54</v>
      </c>
      <c r="E122" s="9">
        <f t="shared" si="2"/>
        <v>45000</v>
      </c>
    </row>
    <row r="123">
      <c r="B123" s="7">
        <v>45000.0</v>
      </c>
      <c r="C123" s="8">
        <v>-499.0</v>
      </c>
      <c r="D123" s="8">
        <f t="shared" si="1"/>
        <v>48720.54</v>
      </c>
      <c r="E123" s="9">
        <f t="shared" si="2"/>
        <v>45000</v>
      </c>
    </row>
    <row r="124">
      <c r="B124" s="7">
        <v>45000.0</v>
      </c>
      <c r="C124" s="8">
        <v>-499.0</v>
      </c>
      <c r="D124" s="8">
        <f t="shared" si="1"/>
        <v>49219.54</v>
      </c>
      <c r="E124" s="9">
        <f t="shared" si="2"/>
        <v>45000</v>
      </c>
    </row>
    <row r="125">
      <c r="B125" s="7">
        <v>45033.0</v>
      </c>
      <c r="C125" s="8">
        <v>-199.0</v>
      </c>
      <c r="D125" s="8">
        <f t="shared" si="1"/>
        <v>49418.54</v>
      </c>
      <c r="E125" s="9">
        <f t="shared" si="2"/>
        <v>45033</v>
      </c>
    </row>
    <row r="126">
      <c r="B126" s="7">
        <v>45033.0</v>
      </c>
      <c r="C126" s="8">
        <v>-499.0</v>
      </c>
      <c r="D126" s="8">
        <f t="shared" si="1"/>
        <v>49917.54</v>
      </c>
      <c r="E126" s="9">
        <f t="shared" si="2"/>
        <v>45033</v>
      </c>
    </row>
    <row r="127">
      <c r="B127" s="7">
        <v>45033.0</v>
      </c>
      <c r="C127" s="8">
        <v>-499.0</v>
      </c>
      <c r="D127" s="8">
        <f t="shared" si="1"/>
        <v>50416.54</v>
      </c>
      <c r="E127" s="9">
        <f t="shared" si="2"/>
        <v>45033</v>
      </c>
    </row>
    <row r="128">
      <c r="B128" s="7">
        <v>45033.0</v>
      </c>
      <c r="C128" s="8">
        <v>-100.0</v>
      </c>
      <c r="D128" s="8">
        <f t="shared" si="1"/>
        <v>50516.54</v>
      </c>
      <c r="E128" s="9">
        <f t="shared" si="2"/>
        <v>45033</v>
      </c>
    </row>
    <row r="129">
      <c r="B129" s="7">
        <v>45033.0</v>
      </c>
      <c r="C129" s="8">
        <v>-499.0</v>
      </c>
      <c r="D129" s="8">
        <f t="shared" si="1"/>
        <v>51015.54</v>
      </c>
      <c r="E129" s="9">
        <f t="shared" si="2"/>
        <v>45033</v>
      </c>
    </row>
    <row r="130">
      <c r="B130" s="7">
        <v>45033.0</v>
      </c>
      <c r="C130" s="8">
        <v>-199.0</v>
      </c>
      <c r="D130" s="8">
        <f t="shared" si="1"/>
        <v>51214.54</v>
      </c>
      <c r="E130" s="9">
        <f t="shared" si="2"/>
        <v>45033</v>
      </c>
    </row>
    <row r="131">
      <c r="B131" s="7">
        <v>45061.0</v>
      </c>
      <c r="C131" s="8">
        <v>-100.0</v>
      </c>
      <c r="D131" s="8">
        <f t="shared" si="1"/>
        <v>51314.54</v>
      </c>
      <c r="E131" s="9">
        <f t="shared" si="2"/>
        <v>45061</v>
      </c>
    </row>
    <row r="132">
      <c r="B132" s="7">
        <v>45061.0</v>
      </c>
      <c r="C132" s="8">
        <v>-499.0</v>
      </c>
      <c r="D132" s="8">
        <f t="shared" si="1"/>
        <v>51813.54</v>
      </c>
      <c r="E132" s="9">
        <f t="shared" si="2"/>
        <v>45061</v>
      </c>
    </row>
    <row r="133">
      <c r="B133" s="7">
        <v>45061.0</v>
      </c>
      <c r="C133" s="8">
        <v>-499.0</v>
      </c>
      <c r="D133" s="8">
        <f t="shared" si="1"/>
        <v>52312.54</v>
      </c>
      <c r="E133" s="9">
        <f t="shared" si="2"/>
        <v>45061</v>
      </c>
    </row>
    <row r="134">
      <c r="B134" s="7">
        <v>45061.0</v>
      </c>
      <c r="C134" s="8">
        <v>-199.0</v>
      </c>
      <c r="D134" s="8">
        <f t="shared" si="1"/>
        <v>52511.54</v>
      </c>
      <c r="E134" s="9">
        <f t="shared" si="2"/>
        <v>45061</v>
      </c>
    </row>
    <row r="135">
      <c r="B135" s="7">
        <v>45061.0</v>
      </c>
      <c r="C135" s="8">
        <v>-499.0</v>
      </c>
      <c r="D135" s="8">
        <f t="shared" si="1"/>
        <v>53010.54</v>
      </c>
      <c r="E135" s="9">
        <f t="shared" si="2"/>
        <v>45061</v>
      </c>
    </row>
    <row r="136">
      <c r="B136" s="7">
        <v>45061.0</v>
      </c>
      <c r="C136" s="8">
        <v>-199.0</v>
      </c>
      <c r="D136" s="8">
        <f t="shared" si="1"/>
        <v>53209.54</v>
      </c>
      <c r="E136" s="9">
        <f t="shared" si="2"/>
        <v>45061</v>
      </c>
    </row>
    <row r="137">
      <c r="B137" s="7">
        <v>45092.0</v>
      </c>
      <c r="C137" s="8">
        <v>-499.0</v>
      </c>
      <c r="D137" s="8">
        <f t="shared" si="1"/>
        <v>53708.54</v>
      </c>
      <c r="E137" s="9">
        <f t="shared" si="2"/>
        <v>45092</v>
      </c>
    </row>
    <row r="138">
      <c r="B138" s="7">
        <v>45092.0</v>
      </c>
      <c r="C138" s="8">
        <v>-199.0</v>
      </c>
      <c r="D138" s="8">
        <f t="shared" si="1"/>
        <v>53907.54</v>
      </c>
      <c r="E138" s="9">
        <f t="shared" si="2"/>
        <v>45092</v>
      </c>
    </row>
    <row r="139">
      <c r="B139" s="7">
        <v>45092.0</v>
      </c>
      <c r="C139" s="8">
        <v>-499.0</v>
      </c>
      <c r="D139" s="8">
        <f t="shared" si="1"/>
        <v>54406.54</v>
      </c>
      <c r="E139" s="9">
        <f t="shared" si="2"/>
        <v>45092</v>
      </c>
    </row>
    <row r="140">
      <c r="B140" s="7">
        <v>45092.0</v>
      </c>
      <c r="C140" s="8">
        <v>-199.0</v>
      </c>
      <c r="D140" s="8">
        <f t="shared" si="1"/>
        <v>54605.54</v>
      </c>
      <c r="E140" s="9">
        <f t="shared" si="2"/>
        <v>45092</v>
      </c>
    </row>
    <row r="141">
      <c r="B141" s="7">
        <v>45092.0</v>
      </c>
      <c r="C141" s="8">
        <v>-499.0</v>
      </c>
      <c r="D141" s="8">
        <f t="shared" si="1"/>
        <v>55104.54</v>
      </c>
      <c r="E141" s="9">
        <f t="shared" si="2"/>
        <v>45092</v>
      </c>
    </row>
    <row r="142">
      <c r="B142" s="7">
        <v>45092.0</v>
      </c>
      <c r="C142" s="8">
        <v>-100.0</v>
      </c>
      <c r="D142" s="8">
        <f t="shared" si="1"/>
        <v>55204.54</v>
      </c>
      <c r="E142" s="9">
        <f t="shared" si="2"/>
        <v>45092</v>
      </c>
    </row>
    <row r="143">
      <c r="B143" s="7">
        <v>45124.0</v>
      </c>
      <c r="C143" s="8">
        <v>-100.0</v>
      </c>
      <c r="D143" s="8">
        <f t="shared" si="1"/>
        <v>55304.54</v>
      </c>
      <c r="E143" s="9">
        <f t="shared" si="2"/>
        <v>45124</v>
      </c>
    </row>
    <row r="144">
      <c r="B144" s="7">
        <v>45124.0</v>
      </c>
      <c r="C144" s="8">
        <v>-199.0</v>
      </c>
      <c r="D144" s="8">
        <f t="shared" si="1"/>
        <v>55503.54</v>
      </c>
      <c r="E144" s="9">
        <f t="shared" si="2"/>
        <v>45124</v>
      </c>
    </row>
    <row r="145">
      <c r="B145" s="7">
        <v>45124.0</v>
      </c>
      <c r="C145" s="8">
        <v>-499.0</v>
      </c>
      <c r="D145" s="8">
        <f t="shared" si="1"/>
        <v>56002.54</v>
      </c>
      <c r="E145" s="9">
        <f t="shared" si="2"/>
        <v>45124</v>
      </c>
    </row>
    <row r="146">
      <c r="B146" s="7">
        <v>45124.0</v>
      </c>
      <c r="C146" s="8">
        <v>-199.0</v>
      </c>
      <c r="D146" s="8">
        <f t="shared" si="1"/>
        <v>56201.54</v>
      </c>
      <c r="E146" s="9">
        <f t="shared" si="2"/>
        <v>45124</v>
      </c>
    </row>
    <row r="147">
      <c r="B147" s="7">
        <v>45124.0</v>
      </c>
      <c r="C147" s="8">
        <v>-499.0</v>
      </c>
      <c r="D147" s="8">
        <f t="shared" si="1"/>
        <v>56700.54</v>
      </c>
      <c r="E147" s="9">
        <f t="shared" si="2"/>
        <v>45124</v>
      </c>
    </row>
    <row r="148">
      <c r="B148" s="7">
        <v>45124.0</v>
      </c>
      <c r="C148" s="8">
        <v>-499.0</v>
      </c>
      <c r="D148" s="8">
        <f t="shared" si="1"/>
        <v>57199.54</v>
      </c>
      <c r="E148" s="9">
        <f t="shared" si="2"/>
        <v>45124</v>
      </c>
    </row>
    <row r="149">
      <c r="B149" s="7">
        <v>45154.0</v>
      </c>
      <c r="C149" s="8">
        <v>-199.0</v>
      </c>
      <c r="D149" s="8">
        <f t="shared" si="1"/>
        <v>57398.54</v>
      </c>
      <c r="E149" s="9">
        <f t="shared" si="2"/>
        <v>45154</v>
      </c>
    </row>
    <row r="150">
      <c r="B150" s="7">
        <v>45154.0</v>
      </c>
      <c r="C150" s="8">
        <v>-499.0</v>
      </c>
      <c r="D150" s="8">
        <f t="shared" si="1"/>
        <v>57897.54</v>
      </c>
      <c r="E150" s="9">
        <f t="shared" si="2"/>
        <v>45154</v>
      </c>
    </row>
    <row r="151">
      <c r="B151" s="7">
        <v>45154.0</v>
      </c>
      <c r="C151" s="8">
        <v>-100.0</v>
      </c>
      <c r="D151" s="8">
        <f t="shared" si="1"/>
        <v>57997.54</v>
      </c>
      <c r="E151" s="9">
        <f t="shared" si="2"/>
        <v>45154</v>
      </c>
    </row>
    <row r="152">
      <c r="B152" s="7">
        <v>45154.0</v>
      </c>
      <c r="C152" s="8">
        <v>-499.0</v>
      </c>
      <c r="D152" s="8">
        <f t="shared" si="1"/>
        <v>58496.54</v>
      </c>
      <c r="E152" s="9">
        <f t="shared" si="2"/>
        <v>45154</v>
      </c>
    </row>
    <row r="153">
      <c r="B153" s="7">
        <v>45154.0</v>
      </c>
      <c r="C153" s="8">
        <v>-199.0</v>
      </c>
      <c r="D153" s="8">
        <f t="shared" si="1"/>
        <v>58695.54</v>
      </c>
      <c r="E153" s="9">
        <f t="shared" si="2"/>
        <v>45154</v>
      </c>
    </row>
    <row r="154">
      <c r="B154" s="7">
        <v>45154.0</v>
      </c>
      <c r="C154" s="8">
        <v>-499.0</v>
      </c>
      <c r="D154" s="8">
        <f t="shared" si="1"/>
        <v>59194.54</v>
      </c>
      <c r="E154" s="9">
        <f t="shared" si="2"/>
        <v>45154</v>
      </c>
    </row>
    <row r="155">
      <c r="B155" s="7">
        <v>45184.0</v>
      </c>
      <c r="C155" s="8">
        <v>-499.0</v>
      </c>
      <c r="D155" s="8">
        <f t="shared" si="1"/>
        <v>59693.54</v>
      </c>
      <c r="E155" s="9">
        <f t="shared" si="2"/>
        <v>45184</v>
      </c>
    </row>
    <row r="156">
      <c r="B156" s="7">
        <v>45184.0</v>
      </c>
      <c r="C156" s="8">
        <v>-199.0</v>
      </c>
      <c r="D156" s="8">
        <f t="shared" si="1"/>
        <v>59892.54</v>
      </c>
      <c r="E156" s="9">
        <f t="shared" si="2"/>
        <v>45184</v>
      </c>
    </row>
    <row r="157">
      <c r="B157" s="7">
        <v>45184.0</v>
      </c>
      <c r="C157" s="8">
        <v>-499.0</v>
      </c>
      <c r="D157" s="8">
        <f t="shared" si="1"/>
        <v>60391.54</v>
      </c>
      <c r="E157" s="9">
        <f t="shared" si="2"/>
        <v>45184</v>
      </c>
    </row>
    <row r="158">
      <c r="B158" s="7">
        <v>45184.0</v>
      </c>
      <c r="C158" s="8">
        <v>-100.0</v>
      </c>
      <c r="D158" s="8">
        <f t="shared" si="1"/>
        <v>60491.54</v>
      </c>
      <c r="E158" s="9">
        <f t="shared" si="2"/>
        <v>45184</v>
      </c>
    </row>
    <row r="159">
      <c r="B159" s="7">
        <v>45184.0</v>
      </c>
      <c r="C159" s="8">
        <v>-199.0</v>
      </c>
      <c r="D159" s="8">
        <f t="shared" si="1"/>
        <v>60690.54</v>
      </c>
      <c r="E159" s="9">
        <f t="shared" si="2"/>
        <v>45184</v>
      </c>
    </row>
    <row r="160">
      <c r="B160" s="7">
        <v>45184.0</v>
      </c>
      <c r="C160" s="8">
        <v>-499.0</v>
      </c>
      <c r="D160" s="8">
        <f t="shared" si="1"/>
        <v>61189.54</v>
      </c>
      <c r="E160" s="9">
        <f t="shared" si="2"/>
        <v>45184</v>
      </c>
    </row>
    <row r="161">
      <c r="B161" s="7">
        <v>45215.0</v>
      </c>
      <c r="C161" s="8">
        <v>-199.0</v>
      </c>
      <c r="D161" s="8">
        <f t="shared" si="1"/>
        <v>61388.54</v>
      </c>
      <c r="E161" s="9">
        <f t="shared" si="2"/>
        <v>45215</v>
      </c>
    </row>
    <row r="162">
      <c r="B162" s="7">
        <v>45215.0</v>
      </c>
      <c r="C162" s="8">
        <v>-499.0</v>
      </c>
      <c r="D162" s="8">
        <f t="shared" si="1"/>
        <v>61887.54</v>
      </c>
      <c r="E162" s="9">
        <f t="shared" si="2"/>
        <v>45215</v>
      </c>
    </row>
    <row r="163">
      <c r="B163" s="7">
        <v>45215.0</v>
      </c>
      <c r="C163" s="8">
        <v>-499.0</v>
      </c>
      <c r="D163" s="8">
        <f t="shared" si="1"/>
        <v>62386.54</v>
      </c>
      <c r="E163" s="9">
        <f t="shared" si="2"/>
        <v>45215</v>
      </c>
    </row>
    <row r="164">
      <c r="B164" s="7">
        <v>45215.0</v>
      </c>
      <c r="C164" s="8">
        <v>-499.0</v>
      </c>
      <c r="D164" s="8">
        <f t="shared" si="1"/>
        <v>62885.54</v>
      </c>
      <c r="E164" s="9">
        <f t="shared" si="2"/>
        <v>45215</v>
      </c>
    </row>
    <row r="165">
      <c r="B165" s="7">
        <v>45215.0</v>
      </c>
      <c r="C165" s="8">
        <v>-199.0</v>
      </c>
      <c r="D165" s="8">
        <f t="shared" si="1"/>
        <v>63084.54</v>
      </c>
      <c r="E165" s="9">
        <f t="shared" si="2"/>
        <v>45215</v>
      </c>
    </row>
    <row r="166">
      <c r="B166" s="7">
        <v>45215.0</v>
      </c>
      <c r="C166" s="8">
        <v>-100.0</v>
      </c>
      <c r="D166" s="8">
        <f t="shared" si="1"/>
        <v>63184.54</v>
      </c>
      <c r="E166" s="9">
        <f t="shared" si="2"/>
        <v>45215</v>
      </c>
    </row>
    <row r="167">
      <c r="B167" s="7">
        <v>45245.0</v>
      </c>
      <c r="C167" s="8">
        <v>-199.0</v>
      </c>
      <c r="D167" s="8">
        <f t="shared" si="1"/>
        <v>63383.54</v>
      </c>
      <c r="E167" s="9">
        <f t="shared" si="2"/>
        <v>45245</v>
      </c>
    </row>
    <row r="168">
      <c r="B168" s="7">
        <v>45245.0</v>
      </c>
      <c r="C168" s="8">
        <v>-499.0</v>
      </c>
      <c r="D168" s="8">
        <f t="shared" si="1"/>
        <v>63882.54</v>
      </c>
      <c r="E168" s="9">
        <f t="shared" si="2"/>
        <v>45245</v>
      </c>
    </row>
    <row r="169">
      <c r="B169" s="7">
        <v>45245.0</v>
      </c>
      <c r="C169" s="8">
        <v>-499.0</v>
      </c>
      <c r="D169" s="8">
        <f t="shared" si="1"/>
        <v>64381.54</v>
      </c>
      <c r="E169" s="9">
        <f t="shared" si="2"/>
        <v>45245</v>
      </c>
    </row>
    <row r="170">
      <c r="B170" s="7">
        <v>45245.0</v>
      </c>
      <c r="C170" s="8">
        <v>-199.0</v>
      </c>
      <c r="D170" s="8">
        <f t="shared" si="1"/>
        <v>64580.54</v>
      </c>
      <c r="E170" s="9">
        <f t="shared" si="2"/>
        <v>45245</v>
      </c>
    </row>
    <row r="171">
      <c r="B171" s="7">
        <v>45245.0</v>
      </c>
      <c r="C171" s="8">
        <v>-100.0</v>
      </c>
      <c r="D171" s="8">
        <f t="shared" si="1"/>
        <v>64680.54</v>
      </c>
      <c r="E171" s="9">
        <f t="shared" si="2"/>
        <v>45245</v>
      </c>
    </row>
    <row r="172">
      <c r="B172" s="7">
        <v>45245.0</v>
      </c>
      <c r="C172" s="8">
        <v>-499.0</v>
      </c>
      <c r="D172" s="8">
        <f t="shared" si="1"/>
        <v>65179.54</v>
      </c>
      <c r="E172" s="9">
        <f t="shared" si="2"/>
        <v>45245</v>
      </c>
    </row>
    <row r="173">
      <c r="B173" s="7">
        <v>45275.0</v>
      </c>
      <c r="C173" s="8">
        <v>-499.0</v>
      </c>
      <c r="D173" s="8">
        <f t="shared" si="1"/>
        <v>65678.54</v>
      </c>
      <c r="E173" s="9">
        <f t="shared" si="2"/>
        <v>45275</v>
      </c>
    </row>
    <row r="174">
      <c r="B174" s="7">
        <v>45275.0</v>
      </c>
      <c r="C174" s="8">
        <v>-199.0</v>
      </c>
      <c r="D174" s="8">
        <f t="shared" si="1"/>
        <v>65877.54</v>
      </c>
      <c r="E174" s="9">
        <f t="shared" si="2"/>
        <v>45275</v>
      </c>
    </row>
    <row r="175">
      <c r="B175" s="7">
        <v>45275.0</v>
      </c>
      <c r="C175" s="8">
        <v>-100.0</v>
      </c>
      <c r="D175" s="8">
        <f t="shared" si="1"/>
        <v>65977.54</v>
      </c>
      <c r="E175" s="9">
        <f t="shared" si="2"/>
        <v>45275</v>
      </c>
    </row>
    <row r="176">
      <c r="B176" s="7">
        <v>45275.0</v>
      </c>
      <c r="C176" s="8">
        <v>-199.0</v>
      </c>
      <c r="D176" s="8">
        <f t="shared" si="1"/>
        <v>66176.54</v>
      </c>
      <c r="E176" s="9">
        <f t="shared" si="2"/>
        <v>45275</v>
      </c>
    </row>
    <row r="177">
      <c r="B177" s="7">
        <v>45275.0</v>
      </c>
      <c r="C177" s="8">
        <v>-499.0</v>
      </c>
      <c r="D177" s="8">
        <f t="shared" si="1"/>
        <v>66675.54</v>
      </c>
      <c r="E177" s="9">
        <f t="shared" si="2"/>
        <v>45275</v>
      </c>
    </row>
    <row r="178">
      <c r="B178" s="7">
        <v>45275.0</v>
      </c>
      <c r="C178" s="8">
        <v>-499.0</v>
      </c>
      <c r="D178" s="8">
        <f t="shared" si="1"/>
        <v>67174.54</v>
      </c>
      <c r="E178" s="9">
        <f t="shared" si="2"/>
        <v>45275</v>
      </c>
    </row>
    <row r="179">
      <c r="B179" s="7">
        <v>45306.0</v>
      </c>
      <c r="C179" s="8">
        <v>-499.0</v>
      </c>
      <c r="D179" s="8">
        <f t="shared" si="1"/>
        <v>67673.54</v>
      </c>
      <c r="E179" s="9">
        <f t="shared" si="2"/>
        <v>45306</v>
      </c>
    </row>
    <row r="180">
      <c r="B180" s="7">
        <v>45306.0</v>
      </c>
      <c r="C180" s="8">
        <v>-499.0</v>
      </c>
      <c r="D180" s="8">
        <f t="shared" si="1"/>
        <v>68172.54</v>
      </c>
      <c r="E180" s="9">
        <f t="shared" si="2"/>
        <v>45306</v>
      </c>
    </row>
    <row r="181">
      <c r="B181" s="7">
        <v>45306.0</v>
      </c>
      <c r="C181" s="8">
        <v>-499.0</v>
      </c>
      <c r="D181" s="8">
        <f t="shared" si="1"/>
        <v>68671.54</v>
      </c>
      <c r="E181" s="9">
        <f t="shared" si="2"/>
        <v>45306</v>
      </c>
    </row>
    <row r="182">
      <c r="B182" s="7">
        <v>45307.0</v>
      </c>
      <c r="C182" s="8">
        <v>-499.0</v>
      </c>
      <c r="D182" s="8">
        <f t="shared" si="1"/>
        <v>69170.54</v>
      </c>
      <c r="E182" s="9">
        <f t="shared" si="2"/>
        <v>45307</v>
      </c>
    </row>
    <row r="183">
      <c r="B183" s="7">
        <v>45310.0</v>
      </c>
      <c r="C183" s="25">
        <v>1368.0</v>
      </c>
      <c r="D183" s="8">
        <f t="shared" si="1"/>
        <v>67802.54</v>
      </c>
      <c r="E183" s="9">
        <f t="shared" si="2"/>
        <v>45310</v>
      </c>
    </row>
    <row r="184">
      <c r="B184" s="7">
        <v>45310.0</v>
      </c>
      <c r="C184" s="25">
        <v>9585.0</v>
      </c>
      <c r="D184" s="8">
        <f t="shared" si="1"/>
        <v>58217.54</v>
      </c>
      <c r="E184" s="9">
        <f t="shared" si="2"/>
        <v>45310</v>
      </c>
    </row>
    <row r="185">
      <c r="B185" s="7">
        <v>45310.0</v>
      </c>
      <c r="C185" s="25">
        <v>18541.0</v>
      </c>
      <c r="D185" s="8">
        <f t="shared" si="1"/>
        <v>39676.54</v>
      </c>
      <c r="E185" s="9">
        <f t="shared" si="2"/>
        <v>45310</v>
      </c>
    </row>
    <row r="186">
      <c r="B186" s="7">
        <v>45314.0</v>
      </c>
      <c r="C186" s="8">
        <v>-18541.0</v>
      </c>
      <c r="D186" s="8">
        <f t="shared" si="1"/>
        <v>58217.54</v>
      </c>
      <c r="E186" s="9">
        <f t="shared" si="2"/>
        <v>45314</v>
      </c>
    </row>
    <row r="187">
      <c r="B187" s="7">
        <v>45314.0</v>
      </c>
      <c r="C187" s="8">
        <v>-9584.0</v>
      </c>
      <c r="D187" s="8">
        <f t="shared" si="1"/>
        <v>67801.54</v>
      </c>
      <c r="E187" s="9">
        <f t="shared" si="2"/>
        <v>45314</v>
      </c>
    </row>
    <row r="188">
      <c r="B188" s="7">
        <v>45315.0</v>
      </c>
      <c r="C188" s="8">
        <v>-1368.0</v>
      </c>
      <c r="D188" s="8">
        <f t="shared" si="1"/>
        <v>69169.54</v>
      </c>
      <c r="E188" s="9">
        <f t="shared" si="2"/>
        <v>45315</v>
      </c>
    </row>
    <row r="189">
      <c r="B189" s="7">
        <v>45337.0</v>
      </c>
      <c r="C189" s="8">
        <v>-499.0</v>
      </c>
      <c r="D189" s="8">
        <f t="shared" si="1"/>
        <v>69668.54</v>
      </c>
      <c r="E189" s="9">
        <f t="shared" si="2"/>
        <v>45337</v>
      </c>
    </row>
    <row r="190">
      <c r="B190" s="7">
        <v>45337.0</v>
      </c>
      <c r="C190" s="8">
        <v>-499.0</v>
      </c>
      <c r="D190" s="8">
        <f t="shared" si="1"/>
        <v>70167.54</v>
      </c>
      <c r="E190" s="9">
        <f t="shared" si="2"/>
        <v>45337</v>
      </c>
    </row>
    <row r="191">
      <c r="B191" s="7">
        <v>45337.0</v>
      </c>
      <c r="C191" s="8">
        <v>-499.0</v>
      </c>
      <c r="D191" s="8">
        <f t="shared" si="1"/>
        <v>70666.54</v>
      </c>
      <c r="E191" s="9">
        <f t="shared" si="2"/>
        <v>45337</v>
      </c>
    </row>
    <row r="192">
      <c r="B192" s="7">
        <v>45337.0</v>
      </c>
      <c r="C192" s="8">
        <v>-499.0</v>
      </c>
      <c r="D192" s="8">
        <f t="shared" si="1"/>
        <v>71165.54</v>
      </c>
      <c r="E192" s="9">
        <f t="shared" si="2"/>
        <v>45337</v>
      </c>
    </row>
    <row r="193">
      <c r="B193" s="7">
        <v>45357.0</v>
      </c>
      <c r="C193" s="8">
        <v>9296.0</v>
      </c>
      <c r="D193" s="8">
        <f t="shared" si="1"/>
        <v>61869.54</v>
      </c>
      <c r="E193" s="9">
        <f t="shared" si="2"/>
        <v>45357</v>
      </c>
    </row>
    <row r="194">
      <c r="B194" s="7">
        <v>45358.0</v>
      </c>
      <c r="C194" s="8">
        <v>-19834.0</v>
      </c>
      <c r="D194" s="8">
        <f t="shared" si="1"/>
        <v>81703.54</v>
      </c>
      <c r="E194" s="9">
        <f t="shared" si="2"/>
        <v>45358</v>
      </c>
    </row>
    <row r="195">
      <c r="B195" s="7">
        <v>45358.0</v>
      </c>
      <c r="C195" s="25">
        <v>19835.0</v>
      </c>
      <c r="D195" s="8">
        <f t="shared" si="1"/>
        <v>61868.54</v>
      </c>
      <c r="E195" s="9">
        <f t="shared" si="2"/>
        <v>45358</v>
      </c>
    </row>
    <row r="196">
      <c r="B196" s="7">
        <v>45358.0</v>
      </c>
      <c r="C196" s="25">
        <v>31350.0</v>
      </c>
      <c r="D196" s="8">
        <f t="shared" si="1"/>
        <v>30518.54</v>
      </c>
      <c r="E196" s="9">
        <f t="shared" si="2"/>
        <v>45358</v>
      </c>
    </row>
    <row r="197">
      <c r="B197" s="7">
        <v>45363.0</v>
      </c>
      <c r="C197" s="8">
        <v>-31349.0</v>
      </c>
      <c r="D197" s="8">
        <f t="shared" si="1"/>
        <v>61867.54</v>
      </c>
      <c r="E197" s="9">
        <f t="shared" si="2"/>
        <v>45363</v>
      </c>
    </row>
    <row r="198">
      <c r="B198" s="7">
        <v>45366.0</v>
      </c>
      <c r="C198" s="8">
        <v>-499.0</v>
      </c>
      <c r="D198" s="8">
        <f t="shared" si="1"/>
        <v>62366.54</v>
      </c>
      <c r="E198" s="9">
        <f t="shared" si="2"/>
        <v>45366</v>
      </c>
    </row>
    <row r="199">
      <c r="B199" s="7">
        <v>45366.0</v>
      </c>
      <c r="C199" s="8">
        <v>-499.0</v>
      </c>
      <c r="D199" s="8">
        <f t="shared" si="1"/>
        <v>62865.54</v>
      </c>
      <c r="E199" s="9">
        <f t="shared" si="2"/>
        <v>45366</v>
      </c>
    </row>
    <row r="200">
      <c r="B200" s="7">
        <v>45366.0</v>
      </c>
      <c r="C200" s="8">
        <v>-499.0</v>
      </c>
      <c r="D200" s="8">
        <f t="shared" si="1"/>
        <v>63364.54</v>
      </c>
      <c r="E200" s="9">
        <f t="shared" si="2"/>
        <v>45366</v>
      </c>
    </row>
    <row r="201">
      <c r="B201" s="7">
        <v>45369.0</v>
      </c>
      <c r="C201" s="8">
        <v>-499.0</v>
      </c>
      <c r="D201" s="8">
        <f t="shared" si="1"/>
        <v>63863.54</v>
      </c>
      <c r="E201" s="9">
        <f t="shared" si="2"/>
        <v>45369</v>
      </c>
    </row>
    <row r="202">
      <c r="B202" s="7">
        <v>45397.0</v>
      </c>
      <c r="C202" s="8">
        <v>-499.0</v>
      </c>
      <c r="D202" s="8">
        <f t="shared" si="1"/>
        <v>64362.54</v>
      </c>
      <c r="E202" s="9">
        <f t="shared" si="2"/>
        <v>45397</v>
      </c>
    </row>
    <row r="203">
      <c r="B203" s="7">
        <v>45398.0</v>
      </c>
      <c r="C203" s="8">
        <v>-499.0</v>
      </c>
      <c r="D203" s="8">
        <f t="shared" si="1"/>
        <v>64861.54</v>
      </c>
      <c r="E203" s="9">
        <f t="shared" si="2"/>
        <v>45398</v>
      </c>
    </row>
    <row r="204">
      <c r="B204" s="7">
        <v>45398.0</v>
      </c>
      <c r="C204" s="8">
        <v>-499.0</v>
      </c>
      <c r="D204" s="8">
        <f t="shared" si="1"/>
        <v>65360.54</v>
      </c>
      <c r="E204" s="9">
        <f t="shared" si="2"/>
        <v>45398</v>
      </c>
    </row>
    <row r="205">
      <c r="B205" s="7">
        <v>45398.0</v>
      </c>
      <c r="C205" s="8">
        <v>-499.0</v>
      </c>
      <c r="D205" s="8">
        <f t="shared" si="1"/>
        <v>65859.54</v>
      </c>
      <c r="E205" s="9">
        <f t="shared" si="2"/>
        <v>45398</v>
      </c>
    </row>
    <row r="206">
      <c r="B206" s="7">
        <v>45428.0</v>
      </c>
      <c r="C206" s="8">
        <v>-499.0</v>
      </c>
      <c r="D206" s="8">
        <f t="shared" si="1"/>
        <v>66358.54</v>
      </c>
      <c r="E206" s="9">
        <f t="shared" si="2"/>
        <v>45428</v>
      </c>
    </row>
    <row r="207">
      <c r="B207" s="7">
        <v>45428.0</v>
      </c>
      <c r="C207" s="8">
        <v>-499.0</v>
      </c>
      <c r="D207" s="8">
        <f t="shared" si="1"/>
        <v>66857.54</v>
      </c>
      <c r="E207" s="9">
        <f t="shared" si="2"/>
        <v>45428</v>
      </c>
    </row>
    <row r="208">
      <c r="B208" s="7">
        <v>45428.0</v>
      </c>
      <c r="C208" s="8">
        <v>-499.0</v>
      </c>
      <c r="D208" s="8">
        <f t="shared" si="1"/>
        <v>67356.54</v>
      </c>
      <c r="E208" s="9">
        <f t="shared" si="2"/>
        <v>45428</v>
      </c>
    </row>
    <row r="209">
      <c r="B209" s="7">
        <v>45428.0</v>
      </c>
      <c r="C209" s="8">
        <v>-499.0</v>
      </c>
      <c r="D209" s="8">
        <f t="shared" si="1"/>
        <v>67855.54</v>
      </c>
      <c r="E209" s="9">
        <f t="shared" si="2"/>
        <v>45428</v>
      </c>
    </row>
    <row r="210">
      <c r="B210" s="7">
        <v>45462.0</v>
      </c>
      <c r="C210" s="8">
        <v>-499.0</v>
      </c>
      <c r="D210" s="8">
        <f t="shared" si="1"/>
        <v>68354.54</v>
      </c>
      <c r="E210" s="9">
        <f t="shared" si="2"/>
        <v>45462</v>
      </c>
    </row>
    <row r="211">
      <c r="B211" s="7">
        <v>45462.0</v>
      </c>
      <c r="C211" s="8">
        <v>-499.0</v>
      </c>
      <c r="D211" s="8">
        <f t="shared" si="1"/>
        <v>68853.54</v>
      </c>
      <c r="E211" s="9">
        <f t="shared" si="2"/>
        <v>45462</v>
      </c>
    </row>
    <row r="212">
      <c r="B212" s="7">
        <v>45462.0</v>
      </c>
      <c r="C212" s="8">
        <v>-499.0</v>
      </c>
      <c r="D212" s="8">
        <f t="shared" si="1"/>
        <v>69352.54</v>
      </c>
      <c r="E212" s="9">
        <f t="shared" si="2"/>
        <v>45462</v>
      </c>
    </row>
    <row r="213">
      <c r="B213" s="7">
        <v>45462.0</v>
      </c>
      <c r="C213" s="8">
        <v>-499.0</v>
      </c>
      <c r="D213" s="8">
        <f t="shared" si="1"/>
        <v>69851.54</v>
      </c>
      <c r="E213" s="9">
        <f t="shared" si="2"/>
        <v>45462</v>
      </c>
    </row>
    <row r="214">
      <c r="B214" s="30">
        <v>45477.0</v>
      </c>
      <c r="C214" s="25">
        <v>20261.0</v>
      </c>
      <c r="D214" s="8">
        <f t="shared" si="1"/>
        <v>49590.54</v>
      </c>
      <c r="E214" s="9">
        <f t="shared" si="2"/>
        <v>45477</v>
      </c>
    </row>
    <row r="215">
      <c r="B215" s="30">
        <v>45488.0</v>
      </c>
      <c r="C215" s="25">
        <v>32168.0</v>
      </c>
      <c r="D215" s="8">
        <f t="shared" si="1"/>
        <v>17422.54</v>
      </c>
      <c r="E215" s="9">
        <f t="shared" si="2"/>
        <v>45488</v>
      </c>
    </row>
    <row r="216">
      <c r="B216" s="30">
        <v>45488.0</v>
      </c>
      <c r="C216" s="25">
        <v>19203.0</v>
      </c>
      <c r="D216" s="8">
        <f t="shared" si="1"/>
        <v>-1780.46</v>
      </c>
      <c r="E216" s="9">
        <f t="shared" si="2"/>
        <v>45488</v>
      </c>
    </row>
    <row r="217">
      <c r="B217" s="30">
        <v>45488.0</v>
      </c>
      <c r="C217" s="25">
        <v>9926.0</v>
      </c>
      <c r="D217" s="8">
        <f t="shared" si="1"/>
        <v>-11706.46</v>
      </c>
      <c r="E217" s="9">
        <f t="shared" si="2"/>
        <v>45488</v>
      </c>
    </row>
    <row r="218">
      <c r="B218" s="30">
        <v>45488.0</v>
      </c>
      <c r="C218" s="25">
        <v>1419.0</v>
      </c>
      <c r="D218" s="8">
        <f t="shared" si="1"/>
        <v>-13125.46</v>
      </c>
      <c r="E218" s="9">
        <f t="shared" si="2"/>
        <v>45488</v>
      </c>
    </row>
    <row r="219">
      <c r="B219" s="30">
        <v>45489.0</v>
      </c>
      <c r="C219" s="8">
        <v>-499.0</v>
      </c>
      <c r="D219" s="8">
        <f t="shared" si="1"/>
        <v>-12626.46</v>
      </c>
      <c r="E219" s="9">
        <f t="shared" si="2"/>
        <v>45489</v>
      </c>
    </row>
    <row r="220">
      <c r="B220" s="30">
        <v>45489.0</v>
      </c>
      <c r="C220" s="8">
        <v>-499.0</v>
      </c>
      <c r="D220" s="8">
        <f t="shared" si="1"/>
        <v>-12127.46</v>
      </c>
      <c r="E220" s="9">
        <f t="shared" si="2"/>
        <v>45489</v>
      </c>
    </row>
    <row r="221">
      <c r="B221" s="30">
        <v>45489.0</v>
      </c>
      <c r="C221" s="8">
        <v>-499.0</v>
      </c>
      <c r="D221" s="8">
        <f t="shared" si="1"/>
        <v>-11628.46</v>
      </c>
      <c r="E221" s="9">
        <f t="shared" si="2"/>
        <v>45489</v>
      </c>
    </row>
    <row r="222">
      <c r="B222" s="30">
        <v>45489.0</v>
      </c>
      <c r="C222" s="8">
        <v>-499.0</v>
      </c>
      <c r="D222" s="8">
        <f t="shared" si="1"/>
        <v>-11129.46</v>
      </c>
      <c r="E222" s="9">
        <f t="shared" si="2"/>
        <v>45489</v>
      </c>
    </row>
    <row r="223">
      <c r="B223" s="30">
        <v>45489.0</v>
      </c>
      <c r="C223" s="8">
        <v>-499.0</v>
      </c>
      <c r="D223" s="8">
        <f t="shared" si="1"/>
        <v>-10630.46</v>
      </c>
      <c r="E223" s="9">
        <f t="shared" si="2"/>
        <v>45489</v>
      </c>
    </row>
    <row r="224">
      <c r="B224" s="30">
        <v>45489.0</v>
      </c>
      <c r="C224" s="8">
        <v>-499.0</v>
      </c>
      <c r="D224" s="8">
        <f t="shared" si="1"/>
        <v>-10131.46</v>
      </c>
      <c r="E224" s="9">
        <f t="shared" si="2"/>
        <v>45489</v>
      </c>
    </row>
    <row r="225">
      <c r="B225" s="30">
        <v>45489.0</v>
      </c>
      <c r="C225" s="8">
        <v>-100.0</v>
      </c>
      <c r="D225" s="8">
        <f t="shared" si="1"/>
        <v>-10031.46</v>
      </c>
      <c r="E225" s="9">
        <f t="shared" si="2"/>
        <v>45489</v>
      </c>
    </row>
    <row r="226">
      <c r="B226" s="30">
        <v>45491.0</v>
      </c>
      <c r="C226" s="25">
        <v>7784.0</v>
      </c>
      <c r="D226" s="8">
        <f t="shared" si="1"/>
        <v>-17815.46</v>
      </c>
      <c r="E226" s="9">
        <f t="shared" si="2"/>
        <v>45491</v>
      </c>
    </row>
    <row r="227">
      <c r="B227" s="30">
        <v>45491.0</v>
      </c>
      <c r="C227" s="25">
        <v>2742.0</v>
      </c>
      <c r="D227" s="8">
        <f t="shared" si="1"/>
        <v>-20557.46</v>
      </c>
      <c r="E227" s="9">
        <f t="shared" si="2"/>
        <v>45491</v>
      </c>
    </row>
    <row r="228">
      <c r="B228" s="30">
        <v>45491.0</v>
      </c>
      <c r="C228" s="8">
        <v>98.0</v>
      </c>
      <c r="D228" s="8">
        <f t="shared" si="1"/>
        <v>-20655.46</v>
      </c>
      <c r="E228" s="9">
        <f t="shared" si="2"/>
        <v>45491</v>
      </c>
    </row>
    <row r="229">
      <c r="B229" s="30">
        <v>45495.0</v>
      </c>
      <c r="C229" s="8">
        <v>-22748.0</v>
      </c>
      <c r="D229" s="8">
        <f t="shared" si="1"/>
        <v>2092.54</v>
      </c>
      <c r="E229" s="9">
        <f t="shared" si="2"/>
        <v>45495</v>
      </c>
    </row>
    <row r="230">
      <c r="B230" s="30">
        <v>45498.0</v>
      </c>
      <c r="C230" s="8">
        <v>-9999.0</v>
      </c>
      <c r="D230" s="8">
        <f t="shared" si="1"/>
        <v>12091.54</v>
      </c>
      <c r="E230" s="9">
        <f t="shared" si="2"/>
        <v>45498</v>
      </c>
    </row>
    <row r="231">
      <c r="B231" s="30">
        <v>45498.0</v>
      </c>
      <c r="C231" s="8">
        <v>-9999.0</v>
      </c>
      <c r="D231" s="8">
        <f t="shared" si="1"/>
        <v>22090.54</v>
      </c>
      <c r="E231" s="9">
        <f t="shared" si="2"/>
        <v>45498</v>
      </c>
    </row>
    <row r="232">
      <c r="B232" s="7">
        <v>45498.0</v>
      </c>
      <c r="C232" s="31">
        <v>-9550.2</v>
      </c>
      <c r="D232" s="8">
        <f t="shared" si="1"/>
        <v>31640.74</v>
      </c>
      <c r="E232" s="9">
        <f t="shared" si="2"/>
        <v>45498</v>
      </c>
    </row>
    <row r="233">
      <c r="B233" s="32">
        <v>45518.0</v>
      </c>
      <c r="C233" s="25">
        <v>20000.0</v>
      </c>
      <c r="D233" s="8">
        <f t="shared" si="1"/>
        <v>11640.74</v>
      </c>
      <c r="E233" s="9">
        <f t="shared" si="2"/>
        <v>45518</v>
      </c>
    </row>
    <row r="234">
      <c r="B234" s="33">
        <v>45520.0</v>
      </c>
      <c r="C234" s="8">
        <v>-499.0</v>
      </c>
      <c r="D234" s="8">
        <f t="shared" si="1"/>
        <v>12139.74</v>
      </c>
      <c r="E234" s="9">
        <f t="shared" si="2"/>
        <v>45520</v>
      </c>
    </row>
    <row r="235">
      <c r="B235" s="33">
        <v>45520.0</v>
      </c>
      <c r="C235" s="8">
        <v>-499.0</v>
      </c>
      <c r="D235" s="8">
        <f t="shared" si="1"/>
        <v>12638.74</v>
      </c>
      <c r="E235" s="9">
        <f t="shared" si="2"/>
        <v>45520</v>
      </c>
    </row>
    <row r="236">
      <c r="B236" s="33">
        <v>45520.0</v>
      </c>
      <c r="C236" s="8">
        <v>-499.0</v>
      </c>
      <c r="D236" s="8">
        <f t="shared" si="1"/>
        <v>13137.74</v>
      </c>
      <c r="E236" s="9">
        <f t="shared" si="2"/>
        <v>45520</v>
      </c>
    </row>
    <row r="237">
      <c r="B237" s="32">
        <v>45520.0</v>
      </c>
      <c r="C237" s="8">
        <v>-499.0</v>
      </c>
      <c r="D237" s="8">
        <f t="shared" si="1"/>
        <v>13636.74</v>
      </c>
      <c r="E237" s="9">
        <f t="shared" si="2"/>
        <v>45520</v>
      </c>
    </row>
    <row r="238">
      <c r="B238" s="32">
        <v>45523.0</v>
      </c>
      <c r="C238" s="27">
        <v>-5269.77</v>
      </c>
      <c r="D238" s="8">
        <f t="shared" si="1"/>
        <v>18906.51</v>
      </c>
      <c r="E238" s="9">
        <f t="shared" si="2"/>
        <v>45523</v>
      </c>
    </row>
    <row r="239">
      <c r="B239" s="32">
        <v>45527.0</v>
      </c>
      <c r="C239" s="8">
        <v>-7299.0</v>
      </c>
      <c r="D239" s="8">
        <f t="shared" si="1"/>
        <v>26205.51</v>
      </c>
      <c r="E239" s="9">
        <f t="shared" si="2"/>
        <v>45527</v>
      </c>
    </row>
    <row r="240">
      <c r="B240" s="33">
        <v>45527.0</v>
      </c>
      <c r="C240" s="8">
        <v>-7299.0</v>
      </c>
      <c r="D240" s="8">
        <f t="shared" si="1"/>
        <v>33504.51</v>
      </c>
      <c r="E240" s="9">
        <f t="shared" si="2"/>
        <v>45527</v>
      </c>
    </row>
    <row r="241">
      <c r="B241" s="32">
        <v>45551.0</v>
      </c>
      <c r="C241" s="8">
        <v>-499.0</v>
      </c>
      <c r="D241" s="8">
        <f t="shared" si="1"/>
        <v>34003.51</v>
      </c>
      <c r="E241" s="9">
        <f t="shared" si="2"/>
        <v>45551</v>
      </c>
    </row>
    <row r="242">
      <c r="B242" s="32">
        <v>45551.0</v>
      </c>
      <c r="C242" s="8">
        <v>-499.0</v>
      </c>
      <c r="D242" s="8">
        <f t="shared" si="1"/>
        <v>34502.51</v>
      </c>
      <c r="E242" s="9">
        <f t="shared" si="2"/>
        <v>45551</v>
      </c>
    </row>
    <row r="243">
      <c r="B243" s="32">
        <v>45551.0</v>
      </c>
      <c r="C243" s="8">
        <v>-499.0</v>
      </c>
      <c r="D243" s="8">
        <f t="shared" si="1"/>
        <v>35001.51</v>
      </c>
      <c r="E243" s="9">
        <f t="shared" si="2"/>
        <v>45551</v>
      </c>
    </row>
    <row r="244">
      <c r="B244" s="32">
        <v>45551.0</v>
      </c>
      <c r="C244" s="8">
        <v>-499.0</v>
      </c>
      <c r="D244" s="8">
        <f t="shared" si="1"/>
        <v>35500.51</v>
      </c>
      <c r="E244" s="9">
        <f t="shared" si="2"/>
        <v>45551</v>
      </c>
    </row>
    <row r="245">
      <c r="B245" s="32">
        <v>45581.0</v>
      </c>
      <c r="C245" s="8">
        <v>-499.0</v>
      </c>
      <c r="D245" s="8">
        <f t="shared" si="1"/>
        <v>35999.51</v>
      </c>
      <c r="E245" s="9">
        <f t="shared" si="2"/>
        <v>45581</v>
      </c>
    </row>
    <row r="246">
      <c r="B246" s="32">
        <v>45581.0</v>
      </c>
      <c r="C246" s="8">
        <v>-499.0</v>
      </c>
      <c r="D246" s="8">
        <f t="shared" si="1"/>
        <v>36498.51</v>
      </c>
      <c r="E246" s="9">
        <f t="shared" si="2"/>
        <v>45581</v>
      </c>
    </row>
    <row r="247">
      <c r="B247" s="32">
        <v>45581.0</v>
      </c>
      <c r="C247" s="8">
        <v>-499.0</v>
      </c>
      <c r="D247" s="8">
        <f t="shared" si="1"/>
        <v>36997.51</v>
      </c>
      <c r="E247" s="9">
        <f t="shared" si="2"/>
        <v>45581</v>
      </c>
    </row>
    <row r="248">
      <c r="B248" s="32">
        <v>45581.0</v>
      </c>
      <c r="C248" s="8">
        <v>-499.0</v>
      </c>
      <c r="D248" s="8">
        <f t="shared" si="1"/>
        <v>37496.51</v>
      </c>
      <c r="E248" s="9">
        <f t="shared" si="2"/>
        <v>45581</v>
      </c>
    </row>
    <row r="249">
      <c r="B249" s="32">
        <v>45593.0</v>
      </c>
      <c r="C249" s="25">
        <v>9346.0</v>
      </c>
      <c r="D249" s="8">
        <f t="shared" si="1"/>
        <v>28150.51</v>
      </c>
      <c r="E249" s="9">
        <f t="shared" si="2"/>
        <v>45593</v>
      </c>
    </row>
    <row r="250">
      <c r="B250" s="32">
        <v>45596.0</v>
      </c>
      <c r="C250" s="8">
        <v>-1999.0</v>
      </c>
      <c r="D250" s="8">
        <f t="shared" si="1"/>
        <v>30149.51</v>
      </c>
      <c r="E250" s="9">
        <f t="shared" si="2"/>
        <v>45596</v>
      </c>
    </row>
    <row r="251">
      <c r="B251" s="32">
        <v>45596.0</v>
      </c>
      <c r="C251" s="8">
        <v>-2799.0</v>
      </c>
      <c r="D251" s="8">
        <f t="shared" si="1"/>
        <v>32948.51</v>
      </c>
      <c r="E251" s="9">
        <f t="shared" si="2"/>
        <v>45596</v>
      </c>
    </row>
    <row r="252">
      <c r="B252" s="32">
        <v>45614.0</v>
      </c>
      <c r="C252" s="8">
        <v>-499.0</v>
      </c>
      <c r="D252" s="8">
        <f t="shared" si="1"/>
        <v>33447.51</v>
      </c>
      <c r="E252" s="9">
        <f t="shared" si="2"/>
        <v>45614</v>
      </c>
    </row>
    <row r="253">
      <c r="B253" s="32">
        <v>45614.0</v>
      </c>
      <c r="C253" s="8">
        <v>-499.0</v>
      </c>
      <c r="D253" s="8">
        <f t="shared" si="1"/>
        <v>33946.51</v>
      </c>
      <c r="E253" s="9">
        <f t="shared" si="2"/>
        <v>45614</v>
      </c>
    </row>
    <row r="254">
      <c r="B254" s="32">
        <v>45614.0</v>
      </c>
      <c r="C254" s="8">
        <v>-499.0</v>
      </c>
      <c r="D254" s="8">
        <f t="shared" si="1"/>
        <v>34445.51</v>
      </c>
      <c r="E254" s="9">
        <f t="shared" si="2"/>
        <v>45614</v>
      </c>
    </row>
    <row r="255">
      <c r="B255" s="32">
        <v>45614.0</v>
      </c>
      <c r="C255" s="8">
        <v>-499.0</v>
      </c>
      <c r="D255" s="8">
        <f t="shared" si="1"/>
        <v>34944.51</v>
      </c>
      <c r="E255" s="9">
        <f t="shared" si="2"/>
        <v>45614</v>
      </c>
    </row>
    <row r="256">
      <c r="B256" s="32">
        <v>45642.0</v>
      </c>
      <c r="C256" s="8">
        <v>-499.0</v>
      </c>
      <c r="D256" s="8">
        <f t="shared" si="1"/>
        <v>35443.51</v>
      </c>
      <c r="E256" s="9">
        <f t="shared" si="2"/>
        <v>45642</v>
      </c>
    </row>
    <row r="257">
      <c r="B257" s="32">
        <v>45642.0</v>
      </c>
      <c r="C257" s="8">
        <v>-499.0</v>
      </c>
      <c r="D257" s="8">
        <f t="shared" si="1"/>
        <v>35942.51</v>
      </c>
      <c r="E257" s="9">
        <f t="shared" si="2"/>
        <v>45642</v>
      </c>
    </row>
    <row r="258">
      <c r="B258" s="32">
        <v>45642.0</v>
      </c>
      <c r="C258" s="8">
        <v>-499.0</v>
      </c>
      <c r="D258" s="8">
        <f t="shared" si="1"/>
        <v>36441.51</v>
      </c>
      <c r="E258" s="9">
        <f t="shared" si="2"/>
        <v>45642</v>
      </c>
    </row>
    <row r="259">
      <c r="B259" s="32">
        <v>45642.0</v>
      </c>
      <c r="C259" s="8">
        <v>-499.0</v>
      </c>
      <c r="D259" s="8">
        <f t="shared" si="1"/>
        <v>36940.51</v>
      </c>
      <c r="E259" s="9">
        <f t="shared" si="2"/>
        <v>45642</v>
      </c>
    </row>
    <row r="260">
      <c r="B260" s="32">
        <v>45672.0</v>
      </c>
      <c r="C260" s="8">
        <v>-499.0</v>
      </c>
      <c r="D260" s="8">
        <f t="shared" si="1"/>
        <v>37439.51</v>
      </c>
      <c r="E260" s="9">
        <f t="shared" si="2"/>
        <v>45672</v>
      </c>
    </row>
    <row r="261">
      <c r="B261" s="32">
        <v>45672.0</v>
      </c>
      <c r="C261" s="8">
        <v>-499.0</v>
      </c>
      <c r="D261" s="8">
        <f t="shared" si="1"/>
        <v>37938.51</v>
      </c>
      <c r="E261" s="9">
        <f t="shared" si="2"/>
        <v>45672</v>
      </c>
    </row>
    <row r="262">
      <c r="B262" s="32">
        <v>45672.0</v>
      </c>
      <c r="C262" s="8">
        <v>-499.0</v>
      </c>
      <c r="D262" s="8">
        <f t="shared" si="1"/>
        <v>38437.51</v>
      </c>
      <c r="E262" s="9">
        <f t="shared" si="2"/>
        <v>45672</v>
      </c>
    </row>
    <row r="263">
      <c r="B263" s="32">
        <v>45674.0</v>
      </c>
      <c r="C263" s="8">
        <v>-499.0</v>
      </c>
      <c r="D263" s="8">
        <f t="shared" si="1"/>
        <v>38936.51</v>
      </c>
      <c r="E263" s="9">
        <f t="shared" si="2"/>
        <v>45674</v>
      </c>
    </row>
    <row r="264">
      <c r="B264" s="32">
        <v>45705.0</v>
      </c>
      <c r="C264" s="8">
        <v>-499.0</v>
      </c>
      <c r="D264" s="8">
        <f t="shared" si="1"/>
        <v>39435.51</v>
      </c>
      <c r="E264" s="9">
        <f t="shared" si="2"/>
        <v>45705</v>
      </c>
    </row>
    <row r="265">
      <c r="B265" s="32">
        <v>45705.0</v>
      </c>
      <c r="C265" s="8">
        <v>-499.0</v>
      </c>
      <c r="D265" s="8">
        <f t="shared" si="1"/>
        <v>39934.51</v>
      </c>
      <c r="E265" s="9">
        <f t="shared" si="2"/>
        <v>45705</v>
      </c>
    </row>
    <row r="266">
      <c r="B266" s="32">
        <v>45705.0</v>
      </c>
      <c r="C266" s="8">
        <v>-499.0</v>
      </c>
      <c r="D266" s="8">
        <f t="shared" si="1"/>
        <v>40433.51</v>
      </c>
      <c r="E266" s="9">
        <f t="shared" si="2"/>
        <v>45705</v>
      </c>
    </row>
    <row r="267">
      <c r="B267" s="32">
        <v>45705.0</v>
      </c>
      <c r="C267" s="8">
        <v>-499.0</v>
      </c>
      <c r="D267" s="8">
        <f t="shared" si="1"/>
        <v>40932.51</v>
      </c>
      <c r="E267" s="9">
        <f t="shared" si="2"/>
        <v>45705</v>
      </c>
    </row>
    <row r="268">
      <c r="B268" s="32">
        <v>45733.0</v>
      </c>
      <c r="C268" s="8">
        <v>-499.0</v>
      </c>
      <c r="D268" s="8">
        <f t="shared" si="1"/>
        <v>41431.51</v>
      </c>
      <c r="E268" s="9">
        <f t="shared" si="2"/>
        <v>45733</v>
      </c>
    </row>
    <row r="269">
      <c r="B269" s="32">
        <v>45733.0</v>
      </c>
      <c r="C269" s="8">
        <v>-499.0</v>
      </c>
      <c r="D269" s="8">
        <f t="shared" si="1"/>
        <v>41930.51</v>
      </c>
      <c r="E269" s="9">
        <f t="shared" si="2"/>
        <v>45733</v>
      </c>
    </row>
    <row r="270">
      <c r="B270" s="32">
        <v>45733.0</v>
      </c>
      <c r="C270" s="8">
        <v>-499.0</v>
      </c>
      <c r="D270" s="8">
        <f t="shared" si="1"/>
        <v>42429.51</v>
      </c>
      <c r="E270" s="9">
        <f t="shared" si="2"/>
        <v>45733</v>
      </c>
    </row>
    <row r="271">
      <c r="B271" s="32">
        <v>45733.0</v>
      </c>
      <c r="C271" s="8">
        <v>-499.0</v>
      </c>
      <c r="D271" s="8">
        <f t="shared" si="1"/>
        <v>42928.51</v>
      </c>
      <c r="E271" s="9">
        <f t="shared" si="2"/>
        <v>45733</v>
      </c>
    </row>
    <row r="272">
      <c r="B272" s="32">
        <v>45737.0</v>
      </c>
      <c r="C272" s="27">
        <v>2536.0</v>
      </c>
      <c r="D272" s="8">
        <f t="shared" si="1"/>
        <v>40392.51</v>
      </c>
      <c r="E272" s="9">
        <f t="shared" si="2"/>
        <v>45737</v>
      </c>
    </row>
    <row r="273">
      <c r="B273" s="32">
        <v>45741.0</v>
      </c>
      <c r="C273" s="27">
        <v>-1302.42</v>
      </c>
      <c r="D273" s="8">
        <f t="shared" si="1"/>
        <v>41694.93</v>
      </c>
      <c r="E273" s="9">
        <f t="shared" si="2"/>
        <v>45741</v>
      </c>
    </row>
    <row r="274">
      <c r="B274" s="34">
        <v>45743.0</v>
      </c>
      <c r="C274" s="8">
        <v>-1230.0</v>
      </c>
      <c r="D274" s="8">
        <f t="shared" si="1"/>
        <v>42924.93</v>
      </c>
      <c r="E274" s="34">
        <f t="shared" si="2"/>
        <v>45743</v>
      </c>
    </row>
    <row r="275">
      <c r="B275" s="35">
        <v>45762.0</v>
      </c>
      <c r="C275" s="8">
        <v>-499.0</v>
      </c>
      <c r="D275" s="8">
        <f t="shared" si="1"/>
        <v>43423.93</v>
      </c>
      <c r="E275" s="34">
        <f t="shared" si="2"/>
        <v>45762</v>
      </c>
    </row>
    <row r="276">
      <c r="B276" s="35">
        <v>45762.0</v>
      </c>
      <c r="C276" s="8">
        <v>-499.0</v>
      </c>
      <c r="D276" s="8">
        <f t="shared" si="1"/>
        <v>43922.93</v>
      </c>
      <c r="E276" s="34">
        <f t="shared" si="2"/>
        <v>45762</v>
      </c>
    </row>
    <row r="277">
      <c r="B277" s="35">
        <v>45762.0</v>
      </c>
      <c r="C277" s="8">
        <v>-499.0</v>
      </c>
      <c r="D277" s="8">
        <f t="shared" si="1"/>
        <v>44421.93</v>
      </c>
      <c r="E277" s="34">
        <f t="shared" si="2"/>
        <v>45762</v>
      </c>
    </row>
    <row r="278">
      <c r="B278" s="32">
        <v>45764.0</v>
      </c>
      <c r="C278" s="27">
        <v>-493.44</v>
      </c>
      <c r="D278" s="8">
        <f t="shared" si="1"/>
        <v>44915.37</v>
      </c>
      <c r="E278" s="9">
        <f t="shared" si="2"/>
        <v>45764</v>
      </c>
    </row>
    <row r="279">
      <c r="B279" s="35">
        <v>45792.0</v>
      </c>
      <c r="C279" s="8">
        <v>-499.0</v>
      </c>
      <c r="D279" s="8">
        <f t="shared" si="1"/>
        <v>45414.37</v>
      </c>
      <c r="E279" s="34">
        <f t="shared" si="2"/>
        <v>45792</v>
      </c>
    </row>
    <row r="280">
      <c r="B280" s="35">
        <v>45792.0</v>
      </c>
      <c r="C280" s="8">
        <v>-499.0</v>
      </c>
      <c r="D280" s="8">
        <f t="shared" si="1"/>
        <v>45913.37</v>
      </c>
      <c r="E280" s="34">
        <f t="shared" si="2"/>
        <v>45792</v>
      </c>
    </row>
    <row r="281">
      <c r="B281" s="35">
        <v>45792.0</v>
      </c>
      <c r="C281" s="8">
        <v>-499.0</v>
      </c>
      <c r="D281" s="8">
        <f t="shared" si="1"/>
        <v>46412.37</v>
      </c>
      <c r="E281" s="34">
        <f t="shared" si="2"/>
        <v>45792</v>
      </c>
    </row>
    <row r="282">
      <c r="B282" s="35">
        <v>45817.0</v>
      </c>
      <c r="C282" s="25">
        <v>1014.0</v>
      </c>
      <c r="D282" s="8">
        <f t="shared" si="1"/>
        <v>45398.37</v>
      </c>
      <c r="E282" s="34">
        <f t="shared" si="2"/>
        <v>45817</v>
      </c>
    </row>
    <row r="283">
      <c r="B283" s="32">
        <v>45817.0</v>
      </c>
      <c r="C283" s="27">
        <v>-1454.24</v>
      </c>
      <c r="D283" s="8">
        <f t="shared" si="1"/>
        <v>46852.61</v>
      </c>
      <c r="E283" s="9">
        <f t="shared" si="2"/>
        <v>45817</v>
      </c>
    </row>
    <row r="284">
      <c r="B284" s="35">
        <v>45824.0</v>
      </c>
      <c r="C284" s="8">
        <v>-499.0</v>
      </c>
      <c r="D284" s="8">
        <f t="shared" si="1"/>
        <v>47351.61</v>
      </c>
      <c r="E284" s="34">
        <f t="shared" si="2"/>
        <v>45824</v>
      </c>
    </row>
    <row r="285">
      <c r="B285" s="35">
        <v>45824.0</v>
      </c>
      <c r="C285" s="8">
        <v>-499.0</v>
      </c>
      <c r="D285" s="8">
        <f t="shared" si="1"/>
        <v>47850.61</v>
      </c>
      <c r="E285" s="34">
        <f t="shared" si="2"/>
        <v>45824</v>
      </c>
    </row>
    <row r="286">
      <c r="B286" s="35">
        <v>45824.0</v>
      </c>
      <c r="C286" s="8">
        <v>-499.0</v>
      </c>
      <c r="D286" s="8">
        <f t="shared" si="1"/>
        <v>48349.61</v>
      </c>
      <c r="E286" s="34">
        <f t="shared" si="2"/>
        <v>45824</v>
      </c>
    </row>
    <row r="287">
      <c r="B287" s="32">
        <v>45825.0</v>
      </c>
      <c r="C287" s="27">
        <v>-545.37</v>
      </c>
      <c r="D287" s="8">
        <f t="shared" si="1"/>
        <v>48894.98</v>
      </c>
      <c r="E287" s="9">
        <f t="shared" si="2"/>
        <v>45825</v>
      </c>
    </row>
    <row r="288">
      <c r="B288" s="35">
        <v>45853.0</v>
      </c>
      <c r="C288" s="8">
        <v>-499.0</v>
      </c>
      <c r="D288" s="8">
        <f t="shared" si="1"/>
        <v>49393.98</v>
      </c>
      <c r="E288" s="34">
        <f t="shared" si="2"/>
        <v>45853</v>
      </c>
    </row>
    <row r="289">
      <c r="B289" s="35">
        <v>45853.0</v>
      </c>
      <c r="C289" s="8">
        <v>-499.0</v>
      </c>
      <c r="D289" s="8">
        <f t="shared" si="1"/>
        <v>49892.98</v>
      </c>
      <c r="E289" s="34">
        <f t="shared" si="2"/>
        <v>45853</v>
      </c>
    </row>
    <row r="290">
      <c r="B290" s="35">
        <v>45853.0</v>
      </c>
      <c r="C290" s="8">
        <v>-499.0</v>
      </c>
      <c r="D290" s="8">
        <f t="shared" si="1"/>
        <v>50391.98</v>
      </c>
      <c r="E290" s="34">
        <f t="shared" si="2"/>
        <v>45853</v>
      </c>
    </row>
    <row r="291">
      <c r="B291" s="32">
        <v>45854.0</v>
      </c>
      <c r="C291" s="27">
        <v>-577.65</v>
      </c>
      <c r="D291" s="8">
        <f t="shared" si="1"/>
        <v>50969.63</v>
      </c>
      <c r="E291" s="9">
        <f t="shared" si="2"/>
        <v>45854</v>
      </c>
    </row>
    <row r="292">
      <c r="B292" s="36">
        <v>45887.0</v>
      </c>
      <c r="C292" s="37">
        <v>-410.94</v>
      </c>
      <c r="D292" s="8">
        <f t="shared" si="1"/>
        <v>51380.57</v>
      </c>
      <c r="E292" s="38">
        <f t="shared" si="2"/>
        <v>45887</v>
      </c>
    </row>
    <row r="293">
      <c r="B293" s="35">
        <v>45887.0</v>
      </c>
      <c r="C293" s="8">
        <v>-499.0</v>
      </c>
      <c r="D293" s="8">
        <f t="shared" si="1"/>
        <v>51879.57</v>
      </c>
      <c r="E293" s="34">
        <f t="shared" si="2"/>
        <v>45887</v>
      </c>
    </row>
    <row r="294">
      <c r="B294" s="35">
        <v>45887.0</v>
      </c>
      <c r="C294" s="8">
        <v>-499.0</v>
      </c>
      <c r="D294" s="8">
        <f t="shared" si="1"/>
        <v>52378.57</v>
      </c>
      <c r="E294" s="34">
        <f t="shared" si="2"/>
        <v>45887</v>
      </c>
    </row>
    <row r="295">
      <c r="B295" s="35">
        <v>45887.0</v>
      </c>
      <c r="C295" s="8">
        <v>-499.0</v>
      </c>
      <c r="D295" s="8">
        <f t="shared" si="1"/>
        <v>52877.57</v>
      </c>
      <c r="E295" s="34">
        <f t="shared" si="2"/>
        <v>45887</v>
      </c>
    </row>
    <row r="296">
      <c r="B296" s="35">
        <v>45915.0</v>
      </c>
      <c r="C296" s="8">
        <v>-499.0</v>
      </c>
      <c r="D296" s="8">
        <f t="shared" si="1"/>
        <v>53376.57</v>
      </c>
      <c r="E296" s="34">
        <f t="shared" si="2"/>
        <v>45915</v>
      </c>
    </row>
    <row r="297">
      <c r="B297" s="35">
        <v>45915.0</v>
      </c>
      <c r="C297" s="8">
        <v>-499.0</v>
      </c>
      <c r="D297" s="8">
        <f t="shared" si="1"/>
        <v>53875.57</v>
      </c>
      <c r="E297" s="34">
        <f t="shared" si="2"/>
        <v>45915</v>
      </c>
    </row>
    <row r="298">
      <c r="B298" s="35">
        <v>45915.0</v>
      </c>
      <c r="C298" s="8">
        <v>-499.0</v>
      </c>
      <c r="D298" s="8">
        <f t="shared" si="1"/>
        <v>54374.57</v>
      </c>
      <c r="E298" s="34">
        <f t="shared" si="2"/>
        <v>45915</v>
      </c>
    </row>
    <row r="299">
      <c r="B299" s="35">
        <v>45918.0</v>
      </c>
      <c r="C299" s="8">
        <v>-499.0</v>
      </c>
      <c r="D299" s="8">
        <f t="shared" si="1"/>
        <v>54873.57</v>
      </c>
      <c r="E299" s="34">
        <f t="shared" si="2"/>
        <v>45918</v>
      </c>
    </row>
    <row r="300">
      <c r="B300" s="35">
        <v>45945.0</v>
      </c>
      <c r="C300" s="8">
        <v>-499.0</v>
      </c>
      <c r="D300" s="8">
        <f t="shared" si="1"/>
        <v>55372.57</v>
      </c>
      <c r="E300" s="34">
        <f t="shared" si="2"/>
        <v>45945</v>
      </c>
    </row>
    <row r="301">
      <c r="B301" s="35">
        <v>45945.0</v>
      </c>
      <c r="C301" s="8">
        <v>-499.0</v>
      </c>
      <c r="D301" s="8">
        <f t="shared" si="1"/>
        <v>55871.57</v>
      </c>
      <c r="E301" s="34">
        <f t="shared" si="2"/>
        <v>45945</v>
      </c>
    </row>
    <row r="302">
      <c r="B302" s="35">
        <v>45945.0</v>
      </c>
      <c r="C302" s="8">
        <v>-499.0</v>
      </c>
      <c r="D302" s="8">
        <f t="shared" si="1"/>
        <v>56370.57</v>
      </c>
      <c r="E302" s="34">
        <f t="shared" si="2"/>
        <v>45945</v>
      </c>
    </row>
    <row r="303">
      <c r="B303" s="39">
        <v>45947.0</v>
      </c>
      <c r="C303" s="37">
        <v>-469.24</v>
      </c>
      <c r="D303" s="8">
        <f t="shared" si="1"/>
        <v>56839.81</v>
      </c>
      <c r="E303" s="40">
        <f t="shared" si="2"/>
        <v>45947</v>
      </c>
    </row>
    <row r="304">
      <c r="B304" s="39">
        <v>45978.0</v>
      </c>
      <c r="C304" s="37">
        <v>-476.9</v>
      </c>
      <c r="D304" s="8">
        <f t="shared" si="1"/>
        <v>57316.71</v>
      </c>
      <c r="E304" s="40">
        <f t="shared" si="2"/>
        <v>45978</v>
      </c>
    </row>
    <row r="305">
      <c r="B305" s="35">
        <v>45978.0</v>
      </c>
      <c r="C305" s="8">
        <v>-499.0</v>
      </c>
      <c r="D305" s="8">
        <f t="shared" si="1"/>
        <v>57815.71</v>
      </c>
      <c r="E305" s="34">
        <f t="shared" si="2"/>
        <v>45978</v>
      </c>
    </row>
    <row r="306">
      <c r="B306" s="35">
        <v>45978.0</v>
      </c>
      <c r="C306" s="8">
        <v>-499.0</v>
      </c>
      <c r="D306" s="8">
        <f t="shared" si="1"/>
        <v>58314.71</v>
      </c>
      <c r="E306" s="34">
        <f t="shared" si="2"/>
        <v>45978</v>
      </c>
    </row>
    <row r="307">
      <c r="B307" s="35">
        <v>45978.0</v>
      </c>
      <c r="C307" s="8">
        <v>-499.0</v>
      </c>
      <c r="D307" s="8">
        <f t="shared" si="1"/>
        <v>58813.71</v>
      </c>
      <c r="E307" s="34">
        <f t="shared" si="2"/>
        <v>45978</v>
      </c>
    </row>
    <row r="308">
      <c r="B308" s="35">
        <v>46006.0</v>
      </c>
      <c r="C308" s="8">
        <v>-499.0</v>
      </c>
      <c r="D308" s="8">
        <f t="shared" si="1"/>
        <v>59312.71</v>
      </c>
      <c r="E308" s="34">
        <f t="shared" si="2"/>
        <v>46006</v>
      </c>
    </row>
    <row r="309">
      <c r="B309" s="35">
        <v>46006.0</v>
      </c>
      <c r="C309" s="8">
        <v>-499.0</v>
      </c>
      <c r="D309" s="8">
        <f t="shared" si="1"/>
        <v>59811.71</v>
      </c>
      <c r="E309" s="34">
        <f t="shared" si="2"/>
        <v>46006</v>
      </c>
    </row>
    <row r="310">
      <c r="B310" s="35">
        <v>46006.0</v>
      </c>
      <c r="C310" s="8">
        <v>-499.0</v>
      </c>
      <c r="D310" s="8">
        <f t="shared" si="1"/>
        <v>60310.71</v>
      </c>
      <c r="E310" s="34">
        <f t="shared" si="2"/>
        <v>46006</v>
      </c>
    </row>
    <row r="311">
      <c r="B311" s="39">
        <v>46015.0</v>
      </c>
      <c r="C311" s="37">
        <v>-469.76</v>
      </c>
      <c r="D311" s="8">
        <f t="shared" si="1"/>
        <v>60780.47</v>
      </c>
      <c r="E311" s="40">
        <f t="shared" si="2"/>
        <v>46015</v>
      </c>
    </row>
    <row r="312">
      <c r="B312" s="41">
        <f t="shared" ref="B312:B313" si="4">TODAY()</f>
        <v>46048</v>
      </c>
      <c r="C312" s="42">
        <f>'Stocks Transaction'!B77</f>
        <v>29750</v>
      </c>
      <c r="D312" s="8">
        <f t="shared" si="1"/>
        <v>31030.47</v>
      </c>
      <c r="E312" s="9">
        <f t="shared" si="2"/>
        <v>46048</v>
      </c>
    </row>
    <row r="313">
      <c r="B313" s="43">
        <f t="shared" si="4"/>
        <v>46048</v>
      </c>
      <c r="C313" s="44">
        <f>'MF holdings and transactions'!G300</f>
        <v>67668.99584</v>
      </c>
      <c r="D313" s="8">
        <f t="shared" si="1"/>
        <v>-36638.52584</v>
      </c>
      <c r="E313" s="9">
        <f t="shared" si="2"/>
        <v>46048</v>
      </c>
    </row>
    <row r="314">
      <c r="B314" s="9"/>
    </row>
    <row r="315">
      <c r="B315" s="45" t="s">
        <v>28</v>
      </c>
      <c r="C315" s="46">
        <f>XIRR(C4:C313,B4:B313)</f>
        <v>0.1489368896</v>
      </c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C323" s="34"/>
    </row>
    <row r="324">
      <c r="C324" s="35"/>
    </row>
    <row r="331">
      <c r="B331" s="36"/>
      <c r="C331" s="37"/>
      <c r="E331" s="35"/>
    </row>
    <row r="332">
      <c r="B332" s="39"/>
      <c r="C332" s="37"/>
      <c r="E332" s="35"/>
    </row>
    <row r="333">
      <c r="B333" s="39"/>
      <c r="C333" s="37"/>
      <c r="E333" s="35"/>
    </row>
    <row r="334">
      <c r="B334" s="39"/>
      <c r="C334" s="37"/>
      <c r="E334" s="35"/>
    </row>
    <row r="335">
      <c r="E335" s="35"/>
    </row>
    <row r="336">
      <c r="E336" s="35"/>
    </row>
    <row r="337">
      <c r="E337" s="35"/>
    </row>
    <row r="338">
      <c r="E338" s="35"/>
    </row>
    <row r="339">
      <c r="E339" s="35"/>
    </row>
    <row r="340">
      <c r="E340" s="35"/>
    </row>
    <row r="341">
      <c r="E341" s="35"/>
    </row>
    <row r="342">
      <c r="E342" s="35"/>
    </row>
    <row r="343">
      <c r="E343" s="35"/>
    </row>
    <row r="344">
      <c r="E344" s="35"/>
    </row>
    <row r="345">
      <c r="E345" s="35"/>
    </row>
    <row r="346">
      <c r="E346" s="35"/>
    </row>
  </sheetData>
  <autoFilter ref="$B$3:$C$313">
    <sortState ref="B3:C313">
      <sortCondition ref="B3:B313"/>
    </sortState>
  </autoFilter>
  <mergeCells count="3">
    <mergeCell ref="B2:C2"/>
    <mergeCell ref="D3:E3"/>
    <mergeCell ref="G48:I48"/>
  </mergeCells>
  <conditionalFormatting sqref="H2 H8">
    <cfRule type="cellIs" dxfId="0" priority="1" operator="greaterThan">
      <formula>0</formula>
    </cfRule>
  </conditionalFormatting>
  <conditionalFormatting sqref="H2 H8">
    <cfRule type="cellIs" dxfId="1" priority="2" operator="lessThanOrEqual">
      <formula>0</formula>
    </cfRule>
  </conditionalFormatting>
  <conditionalFormatting sqref="H9">
    <cfRule type="cellIs" dxfId="0" priority="3" operator="greaterThan">
      <formula>0</formula>
    </cfRule>
  </conditionalFormatting>
  <conditionalFormatting sqref="H9">
    <cfRule type="cellIs" dxfId="1" priority="4" operator="lessThanOrEqual">
      <formula>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34.88"/>
    <col customWidth="1" min="3" max="3" width="23.75"/>
    <col customWidth="1" min="5" max="5" width="15.38"/>
    <col customWidth="1" min="6" max="6" width="25.5"/>
    <col customWidth="1" min="9" max="9" width="13.88"/>
    <col customWidth="1" min="10" max="10" width="16.63"/>
    <col customWidth="1" min="11" max="11" width="19.13"/>
    <col customWidth="1" min="13" max="13" width="12.5"/>
    <col customWidth="1" min="14" max="14" width="3.88"/>
    <col customWidth="1" min="19" max="19" width="3.75"/>
    <col customWidth="1" min="21" max="21" width="21.63"/>
    <col customWidth="1" min="22" max="22" width="21.13"/>
    <col customWidth="1" min="23" max="23" width="19.5"/>
    <col customWidth="1" min="25" max="25" width="17.13"/>
  </cols>
  <sheetData>
    <row r="1">
      <c r="A1" s="47"/>
      <c r="B1" s="48"/>
      <c r="C1" s="47"/>
      <c r="D1" s="47"/>
      <c r="E1" s="47"/>
      <c r="F1" s="47"/>
      <c r="L1" s="9"/>
      <c r="N1" s="49"/>
      <c r="S1" s="49"/>
    </row>
    <row r="2">
      <c r="A2" s="47"/>
      <c r="B2" s="48"/>
      <c r="C2" s="47"/>
      <c r="D2" s="47"/>
      <c r="E2" s="47"/>
      <c r="F2" s="47"/>
      <c r="L2" s="9"/>
      <c r="N2" s="49"/>
      <c r="S2" s="49"/>
    </row>
    <row r="3">
      <c r="A3" s="50" t="s">
        <v>29</v>
      </c>
      <c r="B3" s="48"/>
      <c r="C3" s="47"/>
      <c r="D3" s="47"/>
      <c r="E3" s="47"/>
      <c r="F3" s="47"/>
      <c r="L3" s="9"/>
      <c r="N3" s="49"/>
      <c r="S3" s="49"/>
    </row>
    <row r="4">
      <c r="A4" s="51" t="s">
        <v>30</v>
      </c>
      <c r="B4" s="52" t="s">
        <v>31</v>
      </c>
      <c r="C4" s="47"/>
      <c r="D4" s="47"/>
      <c r="E4" s="47"/>
      <c r="F4" s="47"/>
      <c r="L4" s="9"/>
      <c r="N4" s="49"/>
      <c r="S4" s="49"/>
    </row>
    <row r="5">
      <c r="A5" s="53" t="s">
        <v>32</v>
      </c>
      <c r="B5" s="54">
        <v>9.968481838E9</v>
      </c>
      <c r="C5" s="47"/>
      <c r="D5" s="47"/>
      <c r="E5" s="47"/>
      <c r="F5" s="47"/>
      <c r="L5" s="9"/>
      <c r="N5" s="49"/>
      <c r="S5" s="49"/>
    </row>
    <row r="6">
      <c r="A6" s="53" t="s">
        <v>33</v>
      </c>
      <c r="B6" s="54" t="s">
        <v>34</v>
      </c>
      <c r="C6" s="47"/>
      <c r="D6" s="47"/>
      <c r="E6" s="47"/>
      <c r="F6" s="47"/>
      <c r="L6" s="9"/>
      <c r="N6" s="49"/>
      <c r="S6" s="49"/>
    </row>
    <row r="7">
      <c r="A7" s="47"/>
      <c r="B7" s="48"/>
      <c r="C7" s="47"/>
      <c r="D7" s="47"/>
      <c r="E7" s="47"/>
      <c r="F7" s="47"/>
      <c r="L7" s="9"/>
      <c r="N7" s="49"/>
      <c r="S7" s="49"/>
    </row>
    <row r="8">
      <c r="A8" s="47"/>
      <c r="B8" s="48"/>
      <c r="C8" s="47"/>
      <c r="D8" s="47"/>
      <c r="E8" s="47"/>
      <c r="F8" s="47"/>
      <c r="L8" s="9"/>
      <c r="N8" s="49"/>
      <c r="S8" s="49"/>
    </row>
    <row r="9">
      <c r="A9" s="47"/>
      <c r="B9" s="55" t="s">
        <v>35</v>
      </c>
      <c r="C9" s="47"/>
      <c r="D9" s="47"/>
      <c r="E9" s="47"/>
      <c r="F9" s="47"/>
      <c r="L9" s="9"/>
      <c r="N9" s="49"/>
      <c r="S9" s="49"/>
      <c r="U9" s="16"/>
      <c r="V9" s="16"/>
    </row>
    <row r="10">
      <c r="A10" s="50" t="s">
        <v>36</v>
      </c>
      <c r="B10" s="56">
        <f>TODAY()</f>
        <v>46048</v>
      </c>
      <c r="C10" s="47"/>
      <c r="E10" s="47"/>
      <c r="F10" s="47"/>
      <c r="L10" s="9"/>
      <c r="N10" s="49"/>
      <c r="S10" s="49"/>
    </row>
    <row r="11">
      <c r="A11" s="47"/>
      <c r="B11" s="48"/>
      <c r="C11" s="47"/>
      <c r="D11" s="47"/>
      <c r="E11" s="47"/>
      <c r="F11" s="47"/>
      <c r="N11" s="49"/>
      <c r="O11" s="57"/>
      <c r="P11" s="58" t="s">
        <v>37</v>
      </c>
      <c r="Q11" s="3"/>
      <c r="R11" s="57"/>
      <c r="S11" s="59"/>
      <c r="T11" s="16"/>
    </row>
    <row r="12">
      <c r="A12" s="6" t="s">
        <v>38</v>
      </c>
      <c r="B12" s="60" t="s">
        <v>39</v>
      </c>
      <c r="C12" s="45" t="s">
        <v>40</v>
      </c>
      <c r="D12" s="45" t="s">
        <v>41</v>
      </c>
      <c r="E12" s="45" t="s">
        <v>42</v>
      </c>
      <c r="F12" s="45" t="s">
        <v>43</v>
      </c>
      <c r="G12" s="45" t="s">
        <v>44</v>
      </c>
      <c r="H12" s="61" t="str">
        <f>"2000 SIP Going (" &amp; IF(DAY(TODAY()) &gt; 17, DATEDIF(DATE(2024, 1, 1), TODAY(), "M") + 1, DATEDIF(DATE(2024, 1, 1), TODAY(), "M")) &amp; ")"</f>
        <v>2000 SIP Going (25)</v>
      </c>
      <c r="N12" s="49"/>
      <c r="P12" s="6" t="s">
        <v>3</v>
      </c>
      <c r="Q12" s="6" t="s">
        <v>4</v>
      </c>
      <c r="S12" s="49"/>
      <c r="W12" s="16"/>
    </row>
    <row r="13">
      <c r="A13" s="31"/>
      <c r="B13" s="62"/>
      <c r="C13" s="31"/>
      <c r="D13" s="31"/>
      <c r="E13" s="63"/>
      <c r="F13" s="64"/>
      <c r="N13" s="49"/>
      <c r="P13" s="32"/>
      <c r="S13" s="49"/>
      <c r="W13" s="16"/>
      <c r="X13" s="31"/>
      <c r="Y13" s="63"/>
      <c r="Z13" s="64"/>
    </row>
    <row r="14">
      <c r="A14" s="65" t="s">
        <v>45</v>
      </c>
      <c r="B14" s="62" t="s">
        <v>46</v>
      </c>
      <c r="C14" s="31">
        <v>19.55</v>
      </c>
      <c r="D14" s="31">
        <v>25.58</v>
      </c>
      <c r="E14" s="63">
        <v>499.0</v>
      </c>
      <c r="F14" s="64">
        <v>46006.0</v>
      </c>
      <c r="G14" s="8">
        <f t="shared" ref="G14:G43" si="1">IF(E14="", "", IF(OR(B14="PURCHASE", B14="SWITCH PURCHASE"), E14*-1, E14))
</f>
        <v>-499</v>
      </c>
      <c r="N14" s="49"/>
      <c r="P14" s="35">
        <v>46006.0</v>
      </c>
      <c r="Q14" s="8">
        <v>-499.0</v>
      </c>
      <c r="S14" s="49"/>
      <c r="W14" s="16"/>
      <c r="X14" s="31"/>
      <c r="Y14" s="63"/>
      <c r="Z14" s="64"/>
    </row>
    <row r="15">
      <c r="A15" s="65" t="s">
        <v>47</v>
      </c>
      <c r="B15" s="62" t="s">
        <v>46</v>
      </c>
      <c r="C15" s="31">
        <v>22.99</v>
      </c>
      <c r="D15" s="31">
        <v>21.75</v>
      </c>
      <c r="E15" s="63">
        <v>499.0</v>
      </c>
      <c r="F15" s="64">
        <v>46006.0</v>
      </c>
      <c r="G15" s="8">
        <f t="shared" si="1"/>
        <v>-499</v>
      </c>
      <c r="N15" s="49"/>
      <c r="P15" s="35">
        <v>46006.0</v>
      </c>
      <c r="Q15" s="8">
        <v>-499.0</v>
      </c>
      <c r="S15" s="49"/>
      <c r="W15" s="16"/>
      <c r="X15" s="31"/>
      <c r="Y15" s="63"/>
      <c r="Z15" s="64"/>
    </row>
    <row r="16">
      <c r="A16" s="66" t="s">
        <v>48</v>
      </c>
      <c r="B16" s="62" t="s">
        <v>46</v>
      </c>
      <c r="C16" s="31">
        <v>14.69</v>
      </c>
      <c r="D16" s="31">
        <v>34.03</v>
      </c>
      <c r="E16" s="63">
        <v>499.0</v>
      </c>
      <c r="F16" s="64">
        <v>46006.0</v>
      </c>
      <c r="G16" s="8">
        <f t="shared" si="1"/>
        <v>-499</v>
      </c>
      <c r="N16" s="49"/>
      <c r="P16" s="35">
        <v>46006.0</v>
      </c>
      <c r="Q16" s="8">
        <v>-499.0</v>
      </c>
      <c r="S16" s="49"/>
      <c r="W16" s="16"/>
      <c r="X16" s="31"/>
      <c r="Y16" s="63"/>
      <c r="Z16" s="64"/>
    </row>
    <row r="17">
      <c r="A17" s="65" t="s">
        <v>45</v>
      </c>
      <c r="B17" s="62" t="s">
        <v>46</v>
      </c>
      <c r="C17" s="31">
        <v>19.25</v>
      </c>
      <c r="D17" s="31">
        <v>25.97</v>
      </c>
      <c r="E17" s="63">
        <v>499.0</v>
      </c>
      <c r="F17" s="64">
        <v>45978.0</v>
      </c>
      <c r="G17" s="8">
        <f t="shared" si="1"/>
        <v>-499</v>
      </c>
      <c r="N17" s="49"/>
      <c r="P17" s="35">
        <v>45978.0</v>
      </c>
      <c r="Q17" s="8">
        <v>-499.0</v>
      </c>
      <c r="S17" s="49"/>
      <c r="W17" s="16"/>
      <c r="X17" s="31"/>
      <c r="Y17" s="63"/>
      <c r="Z17" s="64"/>
    </row>
    <row r="18">
      <c r="A18" s="65" t="s">
        <v>47</v>
      </c>
      <c r="B18" s="62" t="s">
        <v>46</v>
      </c>
      <c r="C18" s="31">
        <v>22.51</v>
      </c>
      <c r="D18" s="31">
        <v>22.21</v>
      </c>
      <c r="E18" s="63">
        <v>499.0</v>
      </c>
      <c r="F18" s="64">
        <v>45978.0</v>
      </c>
      <c r="G18" s="8">
        <f t="shared" si="1"/>
        <v>-499</v>
      </c>
      <c r="N18" s="49"/>
      <c r="P18" s="35">
        <v>45978.0</v>
      </c>
      <c r="Q18" s="8">
        <v>-499.0</v>
      </c>
      <c r="S18" s="49"/>
      <c r="W18" s="16"/>
      <c r="X18" s="31"/>
      <c r="Y18" s="63"/>
      <c r="Z18" s="64"/>
    </row>
    <row r="19">
      <c r="A19" s="66" t="s">
        <v>48</v>
      </c>
      <c r="B19" s="62" t="s">
        <v>46</v>
      </c>
      <c r="C19" s="31">
        <v>14.71</v>
      </c>
      <c r="D19" s="31">
        <v>33.98</v>
      </c>
      <c r="E19" s="63">
        <v>499.0</v>
      </c>
      <c r="F19" s="64">
        <v>45978.0</v>
      </c>
      <c r="G19" s="8">
        <f t="shared" si="1"/>
        <v>-499</v>
      </c>
      <c r="N19" s="49"/>
      <c r="P19" s="35">
        <v>45978.0</v>
      </c>
      <c r="Q19" s="8">
        <v>-499.0</v>
      </c>
      <c r="S19" s="49"/>
      <c r="W19" s="16"/>
      <c r="X19" s="31"/>
      <c r="Y19" s="63"/>
      <c r="Z19" s="64"/>
    </row>
    <row r="20">
      <c r="A20" s="65" t="s">
        <v>45</v>
      </c>
      <c r="B20" s="62" t="s">
        <v>46</v>
      </c>
      <c r="C20" s="31">
        <v>19.87</v>
      </c>
      <c r="D20" s="31">
        <v>25.16</v>
      </c>
      <c r="E20" s="63">
        <v>499.0</v>
      </c>
      <c r="F20" s="64">
        <v>45945.0</v>
      </c>
      <c r="G20" s="8">
        <f t="shared" si="1"/>
        <v>-499</v>
      </c>
      <c r="N20" s="49"/>
      <c r="P20" s="35">
        <v>45945.0</v>
      </c>
      <c r="Q20" s="8">
        <v>-499.0</v>
      </c>
      <c r="S20" s="49"/>
      <c r="W20" s="16"/>
      <c r="X20" s="31"/>
      <c r="Y20" s="63"/>
      <c r="Z20" s="64"/>
    </row>
    <row r="21">
      <c r="A21" s="65" t="s">
        <v>47</v>
      </c>
      <c r="B21" s="62" t="s">
        <v>46</v>
      </c>
      <c r="C21" s="31">
        <v>22.84</v>
      </c>
      <c r="D21" s="31">
        <v>21.89</v>
      </c>
      <c r="E21" s="63">
        <v>499.0</v>
      </c>
      <c r="F21" s="64">
        <v>45945.0</v>
      </c>
      <c r="G21" s="8">
        <f t="shared" si="1"/>
        <v>-499</v>
      </c>
      <c r="N21" s="49"/>
      <c r="P21" s="35">
        <v>45945.0</v>
      </c>
      <c r="Q21" s="8">
        <v>-499.0</v>
      </c>
      <c r="S21" s="49"/>
      <c r="W21" s="16"/>
      <c r="X21" s="31"/>
      <c r="Y21" s="63"/>
      <c r="Z21" s="64"/>
    </row>
    <row r="22">
      <c r="A22" s="66" t="s">
        <v>48</v>
      </c>
      <c r="B22" s="62" t="s">
        <v>46</v>
      </c>
      <c r="C22" s="31">
        <v>14.8</v>
      </c>
      <c r="D22" s="31">
        <v>33.77</v>
      </c>
      <c r="E22" s="63">
        <v>499.0</v>
      </c>
      <c r="F22" s="64">
        <v>45945.0</v>
      </c>
      <c r="G22" s="8">
        <f t="shared" si="1"/>
        <v>-499</v>
      </c>
      <c r="N22" s="49"/>
      <c r="P22" s="35">
        <v>45945.0</v>
      </c>
      <c r="Q22" s="8">
        <v>-499.0</v>
      </c>
      <c r="S22" s="49"/>
      <c r="W22" s="16"/>
      <c r="X22" s="31"/>
      <c r="Y22" s="63"/>
      <c r="Z22" s="64"/>
    </row>
    <row r="23">
      <c r="A23" s="65" t="s">
        <v>45</v>
      </c>
      <c r="B23" s="62" t="s">
        <v>46</v>
      </c>
      <c r="C23" s="31">
        <v>19.77</v>
      </c>
      <c r="D23" s="31">
        <v>25.3</v>
      </c>
      <c r="E23" s="63">
        <v>499.0</v>
      </c>
      <c r="F23" s="64">
        <v>45918.0</v>
      </c>
      <c r="G23" s="8">
        <f t="shared" si="1"/>
        <v>-499</v>
      </c>
      <c r="N23" s="49"/>
      <c r="P23" s="35">
        <v>45918.0</v>
      </c>
      <c r="Q23" s="8">
        <v>-499.0</v>
      </c>
      <c r="S23" s="49"/>
      <c r="W23" s="16"/>
      <c r="X23" s="31"/>
      <c r="Y23" s="63"/>
      <c r="Z23" s="64"/>
    </row>
    <row r="24">
      <c r="A24" s="65" t="s">
        <v>45</v>
      </c>
      <c r="B24" s="62" t="s">
        <v>46</v>
      </c>
      <c r="C24" s="31">
        <v>19.98</v>
      </c>
      <c r="D24" s="31">
        <v>25.02</v>
      </c>
      <c r="E24" s="63">
        <v>499.0</v>
      </c>
      <c r="F24" s="64">
        <v>45915.0</v>
      </c>
      <c r="G24" s="8">
        <f t="shared" si="1"/>
        <v>-499</v>
      </c>
      <c r="N24" s="49"/>
      <c r="P24" s="35">
        <v>45915.0</v>
      </c>
      <c r="Q24" s="8">
        <v>-499.0</v>
      </c>
      <c r="S24" s="49"/>
      <c r="W24" s="16"/>
      <c r="X24" s="31"/>
      <c r="Y24" s="63"/>
      <c r="Z24" s="64"/>
    </row>
    <row r="25">
      <c r="A25" s="65" t="s">
        <v>47</v>
      </c>
      <c r="B25" s="62" t="s">
        <v>46</v>
      </c>
      <c r="C25" s="31">
        <v>23.41</v>
      </c>
      <c r="D25" s="31">
        <v>21.36</v>
      </c>
      <c r="E25" s="63">
        <v>499.0</v>
      </c>
      <c r="F25" s="64">
        <v>45915.0</v>
      </c>
      <c r="G25" s="8">
        <f t="shared" si="1"/>
        <v>-499</v>
      </c>
      <c r="N25" s="49"/>
      <c r="P25" s="35">
        <v>45915.0</v>
      </c>
      <c r="Q25" s="8">
        <v>-499.0</v>
      </c>
      <c r="S25" s="49"/>
      <c r="W25" s="16"/>
      <c r="X25" s="31"/>
      <c r="Y25" s="63"/>
      <c r="Z25" s="64"/>
    </row>
    <row r="26">
      <c r="A26" s="66" t="s">
        <v>48</v>
      </c>
      <c r="B26" s="62" t="s">
        <v>46</v>
      </c>
      <c r="C26" s="31">
        <v>14.93</v>
      </c>
      <c r="D26" s="31">
        <v>33.48</v>
      </c>
      <c r="E26" s="63">
        <v>499.0</v>
      </c>
      <c r="F26" s="64">
        <v>45915.0</v>
      </c>
      <c r="G26" s="8">
        <f t="shared" si="1"/>
        <v>-499</v>
      </c>
      <c r="N26" s="49"/>
      <c r="P26" s="35">
        <v>45915.0</v>
      </c>
      <c r="Q26" s="8">
        <v>-499.0</v>
      </c>
      <c r="S26" s="49"/>
      <c r="W26" s="16"/>
      <c r="X26" s="31"/>
      <c r="Y26" s="63"/>
      <c r="Z26" s="64"/>
    </row>
    <row r="27">
      <c r="A27" s="65" t="s">
        <v>45</v>
      </c>
      <c r="B27" s="62" t="s">
        <v>46</v>
      </c>
      <c r="C27" s="31">
        <v>20.36</v>
      </c>
      <c r="D27" s="31">
        <v>24.56</v>
      </c>
      <c r="E27" s="63">
        <v>499.0</v>
      </c>
      <c r="F27" s="64">
        <v>45887.0</v>
      </c>
      <c r="G27" s="8">
        <f t="shared" si="1"/>
        <v>-499</v>
      </c>
      <c r="N27" s="49"/>
      <c r="P27" s="35">
        <v>45887.0</v>
      </c>
      <c r="Q27" s="8">
        <v>-499.0</v>
      </c>
      <c r="S27" s="49"/>
      <c r="W27" s="16"/>
      <c r="X27" s="31"/>
      <c r="Y27" s="63"/>
      <c r="Z27" s="64"/>
    </row>
    <row r="28">
      <c r="A28" s="65" t="s">
        <v>47</v>
      </c>
      <c r="B28" s="62" t="s">
        <v>46</v>
      </c>
      <c r="C28" s="31">
        <v>23.52</v>
      </c>
      <c r="D28" s="31">
        <v>21.26</v>
      </c>
      <c r="E28" s="63">
        <v>499.0</v>
      </c>
      <c r="F28" s="64">
        <v>45887.0</v>
      </c>
      <c r="G28" s="8">
        <f t="shared" si="1"/>
        <v>-499</v>
      </c>
      <c r="N28" s="49"/>
      <c r="P28" s="35">
        <v>45887.0</v>
      </c>
      <c r="Q28" s="8">
        <v>-499.0</v>
      </c>
      <c r="S28" s="49"/>
      <c r="W28" s="16"/>
      <c r="X28" s="31"/>
      <c r="Y28" s="63"/>
      <c r="Z28" s="64"/>
    </row>
    <row r="29">
      <c r="A29" s="66" t="s">
        <v>48</v>
      </c>
      <c r="B29" s="62" t="s">
        <v>46</v>
      </c>
      <c r="C29" s="31">
        <v>14.98</v>
      </c>
      <c r="D29" s="31">
        <v>33.37</v>
      </c>
      <c r="E29" s="63">
        <v>499.0</v>
      </c>
      <c r="F29" s="64">
        <v>45887.0</v>
      </c>
      <c r="G29" s="8">
        <f t="shared" si="1"/>
        <v>-499</v>
      </c>
      <c r="N29" s="49"/>
      <c r="P29" s="35">
        <v>45887.0</v>
      </c>
      <c r="Q29" s="8">
        <v>-499.0</v>
      </c>
      <c r="S29" s="49"/>
      <c r="W29" s="16"/>
      <c r="X29" s="31"/>
      <c r="Y29" s="63"/>
      <c r="Z29" s="64"/>
    </row>
    <row r="30">
      <c r="A30" s="65" t="s">
        <v>47</v>
      </c>
      <c r="B30" s="62" t="s">
        <v>46</v>
      </c>
      <c r="C30" s="31">
        <v>23.18</v>
      </c>
      <c r="D30" s="31">
        <v>21.57</v>
      </c>
      <c r="E30" s="63">
        <v>499.0</v>
      </c>
      <c r="F30" s="64">
        <v>45853.0</v>
      </c>
      <c r="G30" s="8">
        <f t="shared" si="1"/>
        <v>-499</v>
      </c>
      <c r="N30" s="49"/>
      <c r="P30" s="35">
        <v>45853.0</v>
      </c>
      <c r="Q30" s="8">
        <v>-499.0</v>
      </c>
      <c r="S30" s="49"/>
      <c r="W30" s="16"/>
      <c r="X30" s="31"/>
      <c r="Y30" s="63"/>
      <c r="Z30" s="64"/>
    </row>
    <row r="31">
      <c r="A31" s="65" t="s">
        <v>45</v>
      </c>
      <c r="B31" s="62" t="s">
        <v>46</v>
      </c>
      <c r="C31" s="31">
        <v>19.73</v>
      </c>
      <c r="D31" s="31">
        <v>25.35</v>
      </c>
      <c r="E31" s="63">
        <v>499.0</v>
      </c>
      <c r="F31" s="64">
        <v>45853.0</v>
      </c>
      <c r="G31" s="8">
        <f t="shared" si="1"/>
        <v>-499</v>
      </c>
      <c r="N31" s="49"/>
      <c r="P31" s="35">
        <v>45853.0</v>
      </c>
      <c r="Q31" s="8">
        <v>-499.0</v>
      </c>
      <c r="S31" s="49"/>
      <c r="W31" s="16"/>
      <c r="X31" s="31"/>
      <c r="Y31" s="63"/>
      <c r="Z31" s="64"/>
    </row>
    <row r="32">
      <c r="A32" s="66" t="s">
        <v>48</v>
      </c>
      <c r="B32" s="62" t="s">
        <v>46</v>
      </c>
      <c r="C32" s="31">
        <v>15.02</v>
      </c>
      <c r="D32" s="31">
        <v>33.29</v>
      </c>
      <c r="E32" s="63">
        <v>499.0</v>
      </c>
      <c r="F32" s="64">
        <v>45853.0</v>
      </c>
      <c r="G32" s="8">
        <f t="shared" si="1"/>
        <v>-499</v>
      </c>
      <c r="N32" s="49"/>
      <c r="P32" s="35">
        <v>45853.0</v>
      </c>
      <c r="Q32" s="8">
        <v>-499.0</v>
      </c>
      <c r="S32" s="49"/>
      <c r="W32" s="16"/>
      <c r="X32" s="31"/>
      <c r="Y32" s="63"/>
      <c r="Z32" s="64"/>
    </row>
    <row r="33">
      <c r="A33" s="65" t="s">
        <v>47</v>
      </c>
      <c r="B33" s="62" t="s">
        <v>46</v>
      </c>
      <c r="C33" s="31">
        <v>23.0</v>
      </c>
      <c r="D33" s="31">
        <v>21.74</v>
      </c>
      <c r="E33" s="63">
        <v>499.0</v>
      </c>
      <c r="F33" s="64">
        <v>45824.0</v>
      </c>
      <c r="G33" s="8">
        <f t="shared" si="1"/>
        <v>-499</v>
      </c>
      <c r="N33" s="49"/>
      <c r="P33" s="35">
        <v>45824.0</v>
      </c>
      <c r="Q33" s="8">
        <v>-499.0</v>
      </c>
      <c r="S33" s="49"/>
      <c r="W33" s="16"/>
      <c r="X33" s="31"/>
      <c r="Y33" s="63"/>
      <c r="Z33" s="64"/>
    </row>
    <row r="34">
      <c r="A34" s="65" t="s">
        <v>45</v>
      </c>
      <c r="B34" s="62" t="s">
        <v>46</v>
      </c>
      <c r="C34" s="31">
        <v>20.08</v>
      </c>
      <c r="D34" s="31">
        <v>24.9</v>
      </c>
      <c r="E34" s="63">
        <v>499.0</v>
      </c>
      <c r="F34" s="64">
        <v>45824.0</v>
      </c>
      <c r="G34" s="8">
        <f t="shared" si="1"/>
        <v>-499</v>
      </c>
      <c r="N34" s="49"/>
      <c r="P34" s="35">
        <v>45824.0</v>
      </c>
      <c r="Q34" s="8">
        <v>-499.0</v>
      </c>
      <c r="S34" s="49"/>
      <c r="W34" s="16"/>
      <c r="X34" s="31"/>
      <c r="Y34" s="63"/>
      <c r="Z34" s="64"/>
    </row>
    <row r="35">
      <c r="A35" s="66" t="s">
        <v>48</v>
      </c>
      <c r="B35" s="62" t="s">
        <v>46</v>
      </c>
      <c r="C35" s="31">
        <v>15.11</v>
      </c>
      <c r="D35" s="31">
        <v>33.09</v>
      </c>
      <c r="E35" s="63">
        <v>499.0</v>
      </c>
      <c r="F35" s="64">
        <v>45824.0</v>
      </c>
      <c r="G35" s="8">
        <f t="shared" si="1"/>
        <v>-499</v>
      </c>
      <c r="N35" s="49"/>
      <c r="P35" s="35">
        <v>45824.0</v>
      </c>
      <c r="Q35" s="8">
        <v>-499.0</v>
      </c>
      <c r="S35" s="49"/>
      <c r="W35" s="16"/>
      <c r="X35" s="31"/>
      <c r="Y35" s="63"/>
      <c r="Z35" s="64"/>
    </row>
    <row r="36">
      <c r="A36" s="66" t="s">
        <v>48</v>
      </c>
      <c r="B36" s="62" t="s">
        <v>49</v>
      </c>
      <c r="C36" s="31">
        <v>30.57</v>
      </c>
      <c r="D36" s="31">
        <v>33.18</v>
      </c>
      <c r="E36" s="63">
        <v>1014.0</v>
      </c>
      <c r="F36" s="64">
        <v>45817.0</v>
      </c>
      <c r="G36" s="25">
        <f t="shared" si="1"/>
        <v>1014</v>
      </c>
      <c r="N36" s="49"/>
      <c r="P36" s="35">
        <v>45817.0</v>
      </c>
      <c r="Q36" s="25">
        <v>1014.0</v>
      </c>
      <c r="S36" s="49"/>
      <c r="W36" s="16"/>
      <c r="X36" s="31"/>
      <c r="Y36" s="63"/>
      <c r="Z36" s="64"/>
    </row>
    <row r="37">
      <c r="A37" s="66" t="s">
        <v>48</v>
      </c>
      <c r="B37" s="62" t="s">
        <v>46</v>
      </c>
      <c r="C37" s="31">
        <v>15.21</v>
      </c>
      <c r="D37" s="31">
        <v>32.88</v>
      </c>
      <c r="E37" s="63">
        <v>499.0</v>
      </c>
      <c r="F37" s="64">
        <v>45792.0</v>
      </c>
      <c r="G37" s="8">
        <f t="shared" si="1"/>
        <v>-499</v>
      </c>
      <c r="N37" s="49"/>
      <c r="P37" s="35">
        <v>45792.0</v>
      </c>
      <c r="Q37" s="8">
        <v>-499.0</v>
      </c>
      <c r="S37" s="49"/>
      <c r="W37" s="16"/>
      <c r="X37" s="31"/>
      <c r="Y37" s="63"/>
      <c r="Z37" s="64"/>
    </row>
    <row r="38">
      <c r="A38" s="65" t="s">
        <v>47</v>
      </c>
      <c r="B38" s="62" t="s">
        <v>46</v>
      </c>
      <c r="C38" s="31">
        <v>23.59</v>
      </c>
      <c r="D38" s="31">
        <v>21.19</v>
      </c>
      <c r="E38" s="63">
        <v>499.0</v>
      </c>
      <c r="F38" s="64">
        <v>45792.0</v>
      </c>
      <c r="G38" s="8">
        <f t="shared" si="1"/>
        <v>-499</v>
      </c>
      <c r="N38" s="49"/>
      <c r="P38" s="35">
        <v>45792.0</v>
      </c>
      <c r="Q38" s="8">
        <v>-499.0</v>
      </c>
      <c r="S38" s="49"/>
      <c r="W38" s="16"/>
      <c r="X38" s="31"/>
      <c r="Y38" s="63"/>
      <c r="Z38" s="64"/>
    </row>
    <row r="39">
      <c r="A39" s="65" t="s">
        <v>45</v>
      </c>
      <c r="B39" s="62" t="s">
        <v>46</v>
      </c>
      <c r="C39" s="31">
        <v>20.87</v>
      </c>
      <c r="D39" s="31">
        <v>23.96</v>
      </c>
      <c r="E39" s="63">
        <v>499.0</v>
      </c>
      <c r="F39" s="64">
        <v>45792.0</v>
      </c>
      <c r="G39" s="8">
        <f t="shared" si="1"/>
        <v>-499</v>
      </c>
      <c r="N39" s="49"/>
      <c r="P39" s="35">
        <v>45792.0</v>
      </c>
      <c r="Q39" s="8">
        <v>-499.0</v>
      </c>
      <c r="S39" s="49"/>
      <c r="W39" s="16"/>
      <c r="X39" s="31"/>
      <c r="Y39" s="63"/>
      <c r="Z39" s="64"/>
    </row>
    <row r="40">
      <c r="A40" s="66" t="s">
        <v>48</v>
      </c>
      <c r="B40" s="62" t="s">
        <v>46</v>
      </c>
      <c r="C40" s="31">
        <v>15.36</v>
      </c>
      <c r="D40" s="31">
        <v>32.55</v>
      </c>
      <c r="E40" s="63">
        <v>499.0</v>
      </c>
      <c r="F40" s="64">
        <v>45762.0</v>
      </c>
      <c r="G40" s="8">
        <f t="shared" si="1"/>
        <v>-499</v>
      </c>
      <c r="N40" s="49"/>
      <c r="P40" s="35">
        <v>45762.0</v>
      </c>
      <c r="Q40" s="8">
        <v>-499.0</v>
      </c>
      <c r="S40" s="49"/>
      <c r="W40" s="16"/>
      <c r="X40" s="31"/>
      <c r="Y40" s="63"/>
      <c r="Z40" s="64"/>
    </row>
    <row r="41">
      <c r="A41" s="65" t="s">
        <v>45</v>
      </c>
      <c r="B41" s="62" t="s">
        <v>46</v>
      </c>
      <c r="C41" s="31">
        <v>22.61</v>
      </c>
      <c r="D41" s="31">
        <v>22.12</v>
      </c>
      <c r="E41" s="63">
        <v>499.0</v>
      </c>
      <c r="F41" s="64">
        <v>45762.0</v>
      </c>
      <c r="G41" s="8">
        <f t="shared" si="1"/>
        <v>-499</v>
      </c>
      <c r="N41" s="49"/>
      <c r="P41" s="35">
        <v>45762.0</v>
      </c>
      <c r="Q41" s="8">
        <v>-499.0</v>
      </c>
      <c r="S41" s="49"/>
      <c r="W41" s="16"/>
      <c r="X41" s="31"/>
      <c r="Y41" s="63"/>
      <c r="Z41" s="64"/>
    </row>
    <row r="42">
      <c r="A42" s="65" t="s">
        <v>47</v>
      </c>
      <c r="B42" s="62" t="s">
        <v>46</v>
      </c>
      <c r="C42" s="31">
        <v>26.19</v>
      </c>
      <c r="D42" s="31">
        <v>19.09</v>
      </c>
      <c r="E42" s="63">
        <v>499.0</v>
      </c>
      <c r="F42" s="64">
        <v>45762.0</v>
      </c>
      <c r="G42" s="8">
        <f t="shared" si="1"/>
        <v>-499</v>
      </c>
      <c r="N42" s="49"/>
      <c r="P42" s="35">
        <v>45762.0</v>
      </c>
      <c r="Q42" s="8">
        <v>-499.0</v>
      </c>
      <c r="S42" s="49"/>
      <c r="W42" s="16"/>
      <c r="X42" s="31"/>
      <c r="Y42" s="63"/>
      <c r="Z42" s="64"/>
    </row>
    <row r="43">
      <c r="A43" s="65" t="s">
        <v>45</v>
      </c>
      <c r="B43" s="62" t="s">
        <v>46</v>
      </c>
      <c r="C43" s="67">
        <v>55.61</v>
      </c>
      <c r="D43" s="67">
        <v>22.11</v>
      </c>
      <c r="E43" s="68">
        <v>1230.0</v>
      </c>
      <c r="F43" s="69">
        <v>45743.0</v>
      </c>
      <c r="G43" s="8">
        <f t="shared" si="1"/>
        <v>-1230</v>
      </c>
      <c r="N43" s="49"/>
      <c r="P43" s="34">
        <v>45743.0</v>
      </c>
      <c r="Q43" s="8">
        <v>-1230.0</v>
      </c>
      <c r="S43" s="49"/>
      <c r="W43" s="16"/>
      <c r="X43" s="31"/>
      <c r="Y43" s="63"/>
      <c r="Z43" s="64"/>
    </row>
    <row r="44">
      <c r="A44" s="70" t="s">
        <v>48</v>
      </c>
      <c r="B44" s="62" t="s">
        <v>49</v>
      </c>
      <c r="C44" s="71">
        <v>78.98</v>
      </c>
      <c r="D44" s="71">
        <v>32.1</v>
      </c>
      <c r="E44" s="72">
        <v>2536.0</v>
      </c>
      <c r="F44" s="73">
        <v>45737.0</v>
      </c>
      <c r="G44" s="74">
        <v>2536.0</v>
      </c>
      <c r="H44" s="75"/>
      <c r="N44" s="49"/>
      <c r="P44" s="35">
        <v>45737.0</v>
      </c>
      <c r="Q44" s="76">
        <v>2536.0</v>
      </c>
      <c r="S44" s="49"/>
      <c r="W44" s="16"/>
      <c r="X44" s="31"/>
      <c r="Y44" s="63"/>
      <c r="Z44" s="64"/>
    </row>
    <row r="45">
      <c r="A45" s="66" t="s">
        <v>48</v>
      </c>
      <c r="B45" s="62" t="s">
        <v>46</v>
      </c>
      <c r="C45" s="37">
        <v>15.62</v>
      </c>
      <c r="D45" s="37">
        <v>32.01</v>
      </c>
      <c r="E45" s="77">
        <v>499.0</v>
      </c>
      <c r="F45" s="64">
        <v>45733.0</v>
      </c>
      <c r="G45" s="8">
        <f t="shared" ref="G45:G299" si="2">IF(E45="", "", IF(OR(B45="PURCHASE", B45="SWITCH PURCHASE"), E45*-1, E45))
</f>
        <v>-499</v>
      </c>
      <c r="N45" s="49"/>
      <c r="P45" s="35">
        <v>45733.0</v>
      </c>
      <c r="Q45" s="8">
        <v>-499.0</v>
      </c>
      <c r="S45" s="49"/>
      <c r="W45" s="16"/>
      <c r="X45" s="31"/>
      <c r="Y45" s="63"/>
      <c r="Z45" s="64"/>
    </row>
    <row r="46">
      <c r="A46" s="65" t="s">
        <v>47</v>
      </c>
      <c r="B46" s="62" t="s">
        <v>46</v>
      </c>
      <c r="C46" s="31">
        <v>26.92</v>
      </c>
      <c r="D46" s="31">
        <v>18.57</v>
      </c>
      <c r="E46" s="63">
        <v>499.0</v>
      </c>
      <c r="F46" s="64">
        <v>45733.0</v>
      </c>
      <c r="G46" s="8">
        <f t="shared" si="2"/>
        <v>-499</v>
      </c>
      <c r="N46" s="49"/>
      <c r="P46" s="35">
        <v>45733.0</v>
      </c>
      <c r="Q46" s="8">
        <v>-499.0</v>
      </c>
      <c r="S46" s="49"/>
      <c r="W46" s="16"/>
      <c r="X46" s="31"/>
      <c r="Y46" s="63"/>
      <c r="Z46" s="64"/>
    </row>
    <row r="47">
      <c r="A47" s="65" t="s">
        <v>45</v>
      </c>
      <c r="B47" s="62" t="s">
        <v>46</v>
      </c>
      <c r="C47" s="31">
        <v>24.02</v>
      </c>
      <c r="D47" s="31">
        <v>20.81</v>
      </c>
      <c r="E47" s="63">
        <v>499.0</v>
      </c>
      <c r="F47" s="64">
        <v>45733.0</v>
      </c>
      <c r="G47" s="8">
        <f t="shared" si="2"/>
        <v>-499</v>
      </c>
      <c r="N47" s="49"/>
      <c r="P47" s="35">
        <v>45733.0</v>
      </c>
      <c r="Q47" s="8">
        <v>-499.0</v>
      </c>
      <c r="S47" s="49"/>
      <c r="W47" s="16"/>
      <c r="X47" s="31"/>
      <c r="Y47" s="63"/>
      <c r="Z47" s="64"/>
    </row>
    <row r="48">
      <c r="A48" s="65" t="s">
        <v>45</v>
      </c>
      <c r="B48" s="62" t="s">
        <v>46</v>
      </c>
      <c r="C48" s="31">
        <v>24.02</v>
      </c>
      <c r="D48" s="31">
        <v>20.81</v>
      </c>
      <c r="E48" s="63">
        <v>499.0</v>
      </c>
      <c r="F48" s="64">
        <v>45733.0</v>
      </c>
      <c r="G48" s="8">
        <f t="shared" si="2"/>
        <v>-499</v>
      </c>
      <c r="N48" s="49"/>
      <c r="P48" s="35">
        <v>45733.0</v>
      </c>
      <c r="Q48" s="8">
        <v>-499.0</v>
      </c>
      <c r="S48" s="49"/>
      <c r="W48" s="16"/>
      <c r="X48" s="31"/>
      <c r="Y48" s="63"/>
      <c r="Z48" s="64"/>
    </row>
    <row r="49">
      <c r="A49" s="65" t="s">
        <v>47</v>
      </c>
      <c r="B49" s="62" t="s">
        <v>46</v>
      </c>
      <c r="C49" s="31">
        <v>25.61</v>
      </c>
      <c r="D49" s="31">
        <v>19.52</v>
      </c>
      <c r="E49" s="63">
        <v>499.0</v>
      </c>
      <c r="F49" s="64">
        <v>45705.0</v>
      </c>
      <c r="G49" s="8">
        <f t="shared" si="2"/>
        <v>-499</v>
      </c>
      <c r="N49" s="49"/>
      <c r="P49" s="35">
        <v>45705.0</v>
      </c>
      <c r="Q49" s="8">
        <v>-499.0</v>
      </c>
      <c r="S49" s="49"/>
      <c r="W49" s="16"/>
      <c r="X49" s="31"/>
      <c r="Y49" s="63"/>
      <c r="Z49" s="64"/>
    </row>
    <row r="50">
      <c r="A50" s="65" t="s">
        <v>45</v>
      </c>
      <c r="B50" s="62" t="s">
        <v>46</v>
      </c>
      <c r="C50" s="31">
        <v>23.53</v>
      </c>
      <c r="D50" s="31">
        <v>21.25</v>
      </c>
      <c r="E50" s="63">
        <v>499.0</v>
      </c>
      <c r="F50" s="64">
        <v>45705.0</v>
      </c>
      <c r="G50" s="8">
        <f t="shared" si="2"/>
        <v>-499</v>
      </c>
      <c r="N50" s="49"/>
      <c r="P50" s="35">
        <v>45705.0</v>
      </c>
      <c r="Q50" s="8">
        <v>-499.0</v>
      </c>
      <c r="S50" s="49"/>
      <c r="W50" s="16"/>
      <c r="X50" s="31"/>
      <c r="Y50" s="63"/>
      <c r="Z50" s="64"/>
    </row>
    <row r="51">
      <c r="A51" s="66" t="s">
        <v>48</v>
      </c>
      <c r="B51" s="62" t="s">
        <v>46</v>
      </c>
      <c r="C51" s="31">
        <v>15.69</v>
      </c>
      <c r="D51" s="31">
        <v>31.87</v>
      </c>
      <c r="E51" s="63">
        <v>499.0</v>
      </c>
      <c r="F51" s="64">
        <v>45705.0</v>
      </c>
      <c r="G51" s="8">
        <f t="shared" si="2"/>
        <v>-499</v>
      </c>
      <c r="N51" s="49"/>
      <c r="P51" s="35">
        <v>45705.0</v>
      </c>
      <c r="Q51" s="8">
        <v>-499.0</v>
      </c>
      <c r="S51" s="49"/>
      <c r="W51" s="16"/>
      <c r="X51" s="31"/>
      <c r="Y51" s="63"/>
      <c r="Z51" s="64"/>
    </row>
    <row r="52">
      <c r="A52" s="65" t="s">
        <v>45</v>
      </c>
      <c r="B52" s="62" t="s">
        <v>46</v>
      </c>
      <c r="C52" s="31">
        <v>23.53</v>
      </c>
      <c r="D52" s="31">
        <v>21.25</v>
      </c>
      <c r="E52" s="63">
        <v>499.0</v>
      </c>
      <c r="F52" s="64">
        <v>45705.0</v>
      </c>
      <c r="G52" s="8">
        <f t="shared" si="2"/>
        <v>-499</v>
      </c>
      <c r="N52" s="49"/>
      <c r="P52" s="35">
        <v>45705.0</v>
      </c>
      <c r="Q52" s="8">
        <v>-499.0</v>
      </c>
      <c r="S52" s="49"/>
      <c r="W52" s="16"/>
      <c r="X52" s="31"/>
      <c r="Y52" s="63"/>
      <c r="Z52" s="64"/>
    </row>
    <row r="53">
      <c r="A53" s="65" t="s">
        <v>45</v>
      </c>
      <c r="B53" s="62" t="s">
        <v>46</v>
      </c>
      <c r="C53" s="31">
        <v>21.48</v>
      </c>
      <c r="D53" s="31">
        <v>23.28</v>
      </c>
      <c r="E53" s="63">
        <v>499.0</v>
      </c>
      <c r="F53" s="64">
        <v>45674.0</v>
      </c>
      <c r="G53" s="8">
        <f t="shared" si="2"/>
        <v>-499</v>
      </c>
      <c r="N53" s="49"/>
      <c r="P53" s="35">
        <v>45674.0</v>
      </c>
      <c r="Q53" s="8">
        <v>-499.0</v>
      </c>
      <c r="S53" s="49"/>
      <c r="W53" s="16"/>
      <c r="X53" s="31"/>
      <c r="Y53" s="63"/>
      <c r="Z53" s="64"/>
    </row>
    <row r="54">
      <c r="A54" s="65" t="s">
        <v>47</v>
      </c>
      <c r="B54" s="62" t="s">
        <v>46</v>
      </c>
      <c r="C54" s="31">
        <v>23.59</v>
      </c>
      <c r="D54" s="31">
        <v>21.19</v>
      </c>
      <c r="E54" s="63">
        <v>499.0</v>
      </c>
      <c r="F54" s="64">
        <v>45672.0</v>
      </c>
      <c r="G54" s="8">
        <f t="shared" si="2"/>
        <v>-499</v>
      </c>
      <c r="N54" s="49"/>
      <c r="P54" s="35">
        <v>45672.0</v>
      </c>
      <c r="Q54" s="8">
        <v>-499.0</v>
      </c>
      <c r="S54" s="49"/>
      <c r="W54" s="16"/>
      <c r="X54" s="31"/>
      <c r="Y54" s="63"/>
      <c r="Z54" s="64"/>
    </row>
    <row r="55">
      <c r="A55" s="65" t="s">
        <v>45</v>
      </c>
      <c r="B55" s="62" t="s">
        <v>46</v>
      </c>
      <c r="C55" s="31">
        <v>21.73</v>
      </c>
      <c r="D55" s="31">
        <v>23.0</v>
      </c>
      <c r="E55" s="63">
        <v>499.0</v>
      </c>
      <c r="F55" s="64">
        <v>45672.0</v>
      </c>
      <c r="G55" s="8">
        <f t="shared" si="2"/>
        <v>-499</v>
      </c>
      <c r="N55" s="49"/>
      <c r="P55" s="35">
        <v>45672.0</v>
      </c>
      <c r="Q55" s="8">
        <v>-499.0</v>
      </c>
      <c r="S55" s="49"/>
      <c r="W55" s="16"/>
      <c r="X55" s="31"/>
      <c r="Y55" s="63"/>
      <c r="Z55" s="64"/>
    </row>
    <row r="56">
      <c r="A56" s="66" t="s">
        <v>48</v>
      </c>
      <c r="B56" s="62" t="s">
        <v>46</v>
      </c>
      <c r="C56" s="31">
        <v>15.82</v>
      </c>
      <c r="D56" s="31">
        <v>31.6</v>
      </c>
      <c r="E56" s="63">
        <v>499.0</v>
      </c>
      <c r="F56" s="64">
        <v>45672.0</v>
      </c>
      <c r="G56" s="8">
        <f t="shared" si="2"/>
        <v>-499</v>
      </c>
      <c r="N56" s="49"/>
      <c r="P56" s="35">
        <v>45672.0</v>
      </c>
      <c r="Q56" s="8">
        <v>-499.0</v>
      </c>
      <c r="S56" s="49"/>
      <c r="W56" s="16"/>
      <c r="X56" s="31"/>
      <c r="Y56" s="63"/>
      <c r="Z56" s="64"/>
    </row>
    <row r="57">
      <c r="A57" s="66" t="s">
        <v>48</v>
      </c>
      <c r="B57" s="62" t="s">
        <v>46</v>
      </c>
      <c r="C57" s="31">
        <v>15.88</v>
      </c>
      <c r="D57" s="31">
        <v>31.49</v>
      </c>
      <c r="E57" s="63">
        <v>499.0</v>
      </c>
      <c r="F57" s="64">
        <v>45642.0</v>
      </c>
      <c r="G57" s="8">
        <f t="shared" si="2"/>
        <v>-499</v>
      </c>
      <c r="N57" s="49"/>
      <c r="P57" s="35">
        <v>45642.0</v>
      </c>
      <c r="Q57" s="8">
        <v>-499.0</v>
      </c>
      <c r="S57" s="49"/>
      <c r="W57" s="16"/>
      <c r="X57" s="31"/>
      <c r="Y57" s="63"/>
      <c r="Z57" s="64"/>
    </row>
    <row r="58">
      <c r="A58" s="65" t="s">
        <v>47</v>
      </c>
      <c r="B58" s="62" t="s">
        <v>46</v>
      </c>
      <c r="C58" s="31">
        <v>20.49</v>
      </c>
      <c r="D58" s="31">
        <v>24.4</v>
      </c>
      <c r="E58" s="63">
        <v>499.0</v>
      </c>
      <c r="F58" s="64">
        <v>45642.0</v>
      </c>
      <c r="G58" s="8">
        <f t="shared" si="2"/>
        <v>-499</v>
      </c>
      <c r="N58" s="49"/>
      <c r="P58" s="35">
        <v>45642.0</v>
      </c>
      <c r="Q58" s="8">
        <v>-499.0</v>
      </c>
      <c r="S58" s="49"/>
      <c r="W58" s="16"/>
      <c r="X58" s="31"/>
      <c r="Y58" s="63"/>
      <c r="Z58" s="64"/>
    </row>
    <row r="59">
      <c r="A59" s="66" t="s">
        <v>50</v>
      </c>
      <c r="B59" s="62" t="s">
        <v>46</v>
      </c>
      <c r="C59" s="31">
        <v>11.33</v>
      </c>
      <c r="D59" s="31">
        <v>44.13</v>
      </c>
      <c r="E59" s="63">
        <v>499.0</v>
      </c>
      <c r="F59" s="64">
        <v>45642.0</v>
      </c>
      <c r="G59" s="8">
        <f t="shared" si="2"/>
        <v>-499</v>
      </c>
      <c r="N59" s="49"/>
      <c r="P59" s="35">
        <v>45642.0</v>
      </c>
      <c r="Q59" s="8">
        <v>-499.0</v>
      </c>
      <c r="S59" s="49"/>
      <c r="W59" s="16"/>
      <c r="X59" s="31"/>
      <c r="Y59" s="63"/>
      <c r="Z59" s="64"/>
    </row>
    <row r="60">
      <c r="A60" s="65" t="s">
        <v>45</v>
      </c>
      <c r="B60" s="62" t="s">
        <v>46</v>
      </c>
      <c r="C60" s="31">
        <v>19.81</v>
      </c>
      <c r="D60" s="31">
        <v>25.24</v>
      </c>
      <c r="E60" s="63">
        <v>499.0</v>
      </c>
      <c r="F60" s="64">
        <v>45642.0</v>
      </c>
      <c r="G60" s="8">
        <f t="shared" si="2"/>
        <v>-499</v>
      </c>
      <c r="N60" s="49"/>
      <c r="P60" s="35">
        <v>45642.0</v>
      </c>
      <c r="Q60" s="8">
        <v>-499.0</v>
      </c>
      <c r="S60" s="49"/>
      <c r="W60" s="16"/>
      <c r="X60" s="31"/>
      <c r="Y60" s="63"/>
      <c r="Z60" s="64"/>
    </row>
    <row r="61">
      <c r="A61" s="65" t="s">
        <v>47</v>
      </c>
      <c r="B61" s="62" t="s">
        <v>46</v>
      </c>
      <c r="C61" s="31">
        <v>22.05</v>
      </c>
      <c r="D61" s="31">
        <v>22.67</v>
      </c>
      <c r="E61" s="63">
        <v>499.0</v>
      </c>
      <c r="F61" s="64">
        <v>45614.0</v>
      </c>
      <c r="G61" s="8">
        <f t="shared" si="2"/>
        <v>-499</v>
      </c>
      <c r="N61" s="49"/>
      <c r="P61" s="35">
        <v>45614.0</v>
      </c>
      <c r="Q61" s="8">
        <v>-499.0</v>
      </c>
      <c r="S61" s="49"/>
      <c r="W61" s="16"/>
      <c r="X61" s="31"/>
      <c r="Y61" s="63"/>
      <c r="Z61" s="64"/>
    </row>
    <row r="62">
      <c r="A62" s="66" t="s">
        <v>50</v>
      </c>
      <c r="B62" s="62" t="s">
        <v>46</v>
      </c>
      <c r="C62" s="31">
        <v>13.88</v>
      </c>
      <c r="D62" s="31">
        <v>36.04</v>
      </c>
      <c r="E62" s="63">
        <v>499.0</v>
      </c>
      <c r="F62" s="64">
        <v>45614.0</v>
      </c>
      <c r="G62" s="8">
        <f t="shared" si="2"/>
        <v>-499</v>
      </c>
      <c r="N62" s="49"/>
      <c r="P62" s="35">
        <v>45614.0</v>
      </c>
      <c r="Q62" s="8">
        <v>-499.0</v>
      </c>
      <c r="S62" s="49"/>
      <c r="W62" s="16"/>
      <c r="X62" s="31"/>
      <c r="Y62" s="63"/>
      <c r="Z62" s="64"/>
    </row>
    <row r="63">
      <c r="A63" s="65" t="s">
        <v>45</v>
      </c>
      <c r="B63" s="62" t="s">
        <v>46</v>
      </c>
      <c r="C63" s="31">
        <v>21.61</v>
      </c>
      <c r="D63" s="31">
        <v>23.14</v>
      </c>
      <c r="E63" s="63">
        <v>499.0</v>
      </c>
      <c r="F63" s="64">
        <v>45614.0</v>
      </c>
      <c r="G63" s="8">
        <f t="shared" si="2"/>
        <v>-499</v>
      </c>
      <c r="N63" s="49"/>
      <c r="P63" s="35">
        <v>45614.0</v>
      </c>
      <c r="Q63" s="8">
        <v>-499.0</v>
      </c>
      <c r="S63" s="49"/>
      <c r="W63" s="16"/>
      <c r="X63" s="31"/>
      <c r="Y63" s="63"/>
      <c r="Z63" s="64"/>
    </row>
    <row r="64">
      <c r="A64" s="66" t="s">
        <v>48</v>
      </c>
      <c r="B64" s="62" t="s">
        <v>46</v>
      </c>
      <c r="C64" s="31">
        <v>15.98</v>
      </c>
      <c r="D64" s="31">
        <v>31.29</v>
      </c>
      <c r="E64" s="63">
        <v>499.0</v>
      </c>
      <c r="F64" s="64">
        <v>45614.0</v>
      </c>
      <c r="G64" s="8">
        <f t="shared" si="2"/>
        <v>-499</v>
      </c>
      <c r="N64" s="49"/>
      <c r="P64" s="35">
        <v>45614.0</v>
      </c>
      <c r="Q64" s="8">
        <v>-499.0</v>
      </c>
      <c r="S64" s="49"/>
      <c r="W64" s="16"/>
      <c r="X64" s="31"/>
      <c r="Y64" s="63"/>
      <c r="Z64" s="64"/>
    </row>
    <row r="65">
      <c r="A65" s="65" t="s">
        <v>45</v>
      </c>
      <c r="B65" s="62" t="s">
        <v>46</v>
      </c>
      <c r="C65" s="31">
        <v>83.11</v>
      </c>
      <c r="D65" s="31">
        <v>24.06</v>
      </c>
      <c r="E65" s="63">
        <v>1999.0</v>
      </c>
      <c r="F65" s="64">
        <v>45596.0</v>
      </c>
      <c r="G65" s="8">
        <f t="shared" si="2"/>
        <v>-1999</v>
      </c>
      <c r="H65" s="61" t="s">
        <v>51</v>
      </c>
      <c r="N65" s="49"/>
      <c r="P65" s="35">
        <v>45596.0</v>
      </c>
      <c r="Q65" s="8">
        <v>-1999.0</v>
      </c>
      <c r="S65" s="49"/>
      <c r="W65" s="16"/>
      <c r="X65" s="31"/>
      <c r="Y65" s="63"/>
      <c r="Z65" s="64"/>
    </row>
    <row r="66">
      <c r="A66" s="65" t="s">
        <v>47</v>
      </c>
      <c r="B66" s="62" t="s">
        <v>46</v>
      </c>
      <c r="C66" s="31">
        <v>117.68</v>
      </c>
      <c r="D66" s="31">
        <v>23.79</v>
      </c>
      <c r="E66" s="63">
        <v>2799.0</v>
      </c>
      <c r="F66" s="64">
        <v>45596.0</v>
      </c>
      <c r="G66" s="8">
        <f t="shared" si="2"/>
        <v>-2799</v>
      </c>
      <c r="N66" s="49"/>
      <c r="P66" s="35">
        <v>45596.0</v>
      </c>
      <c r="Q66" s="8">
        <v>-2799.0</v>
      </c>
      <c r="S66" s="49"/>
      <c r="W66" s="16"/>
      <c r="X66" s="31"/>
      <c r="Y66" s="63"/>
      <c r="Z66" s="64"/>
    </row>
    <row r="67">
      <c r="A67" s="66" t="s">
        <v>48</v>
      </c>
      <c r="B67" s="62" t="s">
        <v>49</v>
      </c>
      <c r="C67" s="31">
        <v>299.91</v>
      </c>
      <c r="D67" s="31">
        <v>31.16</v>
      </c>
      <c r="E67" s="63">
        <v>9346.0</v>
      </c>
      <c r="F67" s="64">
        <v>45593.0</v>
      </c>
      <c r="G67" s="25">
        <f t="shared" si="2"/>
        <v>9346</v>
      </c>
      <c r="N67" s="49"/>
      <c r="P67" s="35">
        <v>45593.0</v>
      </c>
      <c r="Q67" s="25">
        <v>9346.0</v>
      </c>
      <c r="S67" s="49"/>
      <c r="W67" s="16"/>
      <c r="X67" s="31"/>
      <c r="Y67" s="63"/>
      <c r="Z67" s="64"/>
    </row>
    <row r="68">
      <c r="A68" s="65" t="s">
        <v>47</v>
      </c>
      <c r="B68" s="62" t="s">
        <v>46</v>
      </c>
      <c r="C68" s="31">
        <v>19.42</v>
      </c>
      <c r="D68" s="31">
        <v>25.74</v>
      </c>
      <c r="E68" s="63">
        <v>499.0</v>
      </c>
      <c r="F68" s="64">
        <v>45581.0</v>
      </c>
      <c r="G68" s="8">
        <f t="shared" si="2"/>
        <v>-499</v>
      </c>
      <c r="N68" s="49"/>
      <c r="P68" s="35">
        <v>45581.0</v>
      </c>
      <c r="Q68" s="8">
        <v>-499.0</v>
      </c>
      <c r="S68" s="49"/>
      <c r="W68" s="16"/>
      <c r="X68" s="31"/>
      <c r="Y68" s="63"/>
      <c r="Z68" s="64"/>
    </row>
    <row r="69">
      <c r="A69" s="66" t="s">
        <v>50</v>
      </c>
      <c r="B69" s="62" t="s">
        <v>46</v>
      </c>
      <c r="C69" s="31">
        <v>14.2</v>
      </c>
      <c r="D69" s="31">
        <v>35.21</v>
      </c>
      <c r="E69" s="63">
        <v>499.0</v>
      </c>
      <c r="F69" s="64">
        <v>45581.0</v>
      </c>
      <c r="G69" s="8">
        <f t="shared" si="2"/>
        <v>-499</v>
      </c>
      <c r="N69" s="49"/>
      <c r="P69" s="35">
        <v>45581.0</v>
      </c>
      <c r="Q69" s="8">
        <v>-499.0</v>
      </c>
      <c r="S69" s="49"/>
      <c r="W69" s="16"/>
      <c r="X69" s="31"/>
      <c r="Y69" s="63"/>
      <c r="Z69" s="64"/>
    </row>
    <row r="70">
      <c r="A70" s="65" t="s">
        <v>45</v>
      </c>
      <c r="B70" s="62" t="s">
        <v>46</v>
      </c>
      <c r="C70" s="31">
        <v>19.64</v>
      </c>
      <c r="D70" s="31">
        <v>25.46</v>
      </c>
      <c r="E70" s="63">
        <v>499.0</v>
      </c>
      <c r="F70" s="64">
        <v>45581.0</v>
      </c>
      <c r="G70" s="8">
        <f t="shared" si="2"/>
        <v>-499</v>
      </c>
      <c r="N70" s="49"/>
      <c r="P70" s="35">
        <v>45581.0</v>
      </c>
      <c r="Q70" s="8">
        <v>-499.0</v>
      </c>
      <c r="S70" s="49"/>
      <c r="W70" s="16"/>
      <c r="X70" s="31"/>
      <c r="Y70" s="63"/>
      <c r="Z70" s="64"/>
    </row>
    <row r="71">
      <c r="A71" s="66" t="s">
        <v>48</v>
      </c>
      <c r="B71" s="62" t="s">
        <v>46</v>
      </c>
      <c r="C71" s="31">
        <v>16.06</v>
      </c>
      <c r="D71" s="31">
        <v>31.14</v>
      </c>
      <c r="E71" s="63">
        <v>499.0</v>
      </c>
      <c r="F71" s="64">
        <v>45581.0</v>
      </c>
      <c r="G71" s="8">
        <f t="shared" si="2"/>
        <v>-499</v>
      </c>
      <c r="N71" s="49"/>
      <c r="P71" s="35">
        <v>45581.0</v>
      </c>
      <c r="Q71" s="8">
        <v>-499.0</v>
      </c>
      <c r="S71" s="49"/>
      <c r="W71" s="16"/>
      <c r="X71" s="31"/>
      <c r="Y71" s="63"/>
      <c r="Z71" s="64"/>
    </row>
    <row r="72">
      <c r="A72" s="66" t="s">
        <v>48</v>
      </c>
      <c r="B72" s="62" t="s">
        <v>46</v>
      </c>
      <c r="C72" s="31">
        <v>16.18</v>
      </c>
      <c r="D72" s="31">
        <v>30.89</v>
      </c>
      <c r="E72" s="63">
        <v>499.0</v>
      </c>
      <c r="F72" s="64">
        <v>45551.0</v>
      </c>
      <c r="G72" s="8">
        <f t="shared" si="2"/>
        <v>-499</v>
      </c>
      <c r="N72" s="49"/>
      <c r="P72" s="35">
        <v>45551.0</v>
      </c>
      <c r="Q72" s="8">
        <v>-499.0</v>
      </c>
      <c r="S72" s="49"/>
      <c r="W72" s="16"/>
      <c r="X72" s="31"/>
      <c r="Y72" s="63"/>
      <c r="Z72" s="64"/>
    </row>
    <row r="73">
      <c r="A73" s="65" t="s">
        <v>47</v>
      </c>
      <c r="B73" s="62" t="s">
        <v>46</v>
      </c>
      <c r="C73" s="31">
        <v>19.84</v>
      </c>
      <c r="D73" s="31">
        <v>25.2</v>
      </c>
      <c r="E73" s="63">
        <v>499.0</v>
      </c>
      <c r="F73" s="64">
        <v>45551.0</v>
      </c>
      <c r="G73" s="8">
        <f t="shared" si="2"/>
        <v>-499</v>
      </c>
      <c r="N73" s="49"/>
      <c r="P73" s="35">
        <v>45551.0</v>
      </c>
      <c r="Q73" s="8">
        <v>-499.0</v>
      </c>
      <c r="S73" s="49"/>
      <c r="W73" s="16"/>
      <c r="X73" s="31"/>
      <c r="Y73" s="63"/>
      <c r="Z73" s="64"/>
    </row>
    <row r="74">
      <c r="A74" s="65" t="s">
        <v>45</v>
      </c>
      <c r="B74" s="62" t="s">
        <v>46</v>
      </c>
      <c r="C74" s="31">
        <v>19.46</v>
      </c>
      <c r="D74" s="31">
        <v>25.69</v>
      </c>
      <c r="E74" s="63">
        <v>499.0</v>
      </c>
      <c r="F74" s="64">
        <v>45551.0</v>
      </c>
      <c r="G74" s="8">
        <f t="shared" si="2"/>
        <v>-499</v>
      </c>
      <c r="N74" s="49"/>
      <c r="P74" s="35">
        <v>45551.0</v>
      </c>
      <c r="Q74" s="8">
        <v>-499.0</v>
      </c>
      <c r="S74" s="49"/>
      <c r="W74" s="16"/>
      <c r="X74" s="31"/>
      <c r="Y74" s="63"/>
      <c r="Z74" s="64"/>
    </row>
    <row r="75">
      <c r="A75" s="66" t="s">
        <v>50</v>
      </c>
      <c r="B75" s="62" t="s">
        <v>46</v>
      </c>
      <c r="C75" s="31">
        <v>14.76</v>
      </c>
      <c r="D75" s="31">
        <v>33.88</v>
      </c>
      <c r="E75" s="63">
        <v>499.0</v>
      </c>
      <c r="F75" s="64">
        <v>45551.0</v>
      </c>
      <c r="G75" s="8">
        <f t="shared" si="2"/>
        <v>-499</v>
      </c>
      <c r="N75" s="49"/>
      <c r="P75" s="35">
        <v>45551.0</v>
      </c>
      <c r="Q75" s="8">
        <v>-499.0</v>
      </c>
      <c r="S75" s="49"/>
      <c r="W75" s="16"/>
      <c r="X75" s="31"/>
      <c r="Y75" s="63"/>
      <c r="Z75" s="64"/>
    </row>
    <row r="76">
      <c r="A76" s="65" t="s">
        <v>47</v>
      </c>
      <c r="B76" s="78" t="s">
        <v>46</v>
      </c>
      <c r="C76" s="27">
        <v>289.67</v>
      </c>
      <c r="D76" s="27">
        <v>25.2</v>
      </c>
      <c r="E76" s="79">
        <v>7299.0</v>
      </c>
      <c r="F76" s="35">
        <v>45527.0</v>
      </c>
      <c r="G76" s="8">
        <f t="shared" si="2"/>
        <v>-7299</v>
      </c>
      <c r="H76" s="61" t="s">
        <v>52</v>
      </c>
      <c r="N76" s="49"/>
      <c r="P76" s="35">
        <v>45527.0</v>
      </c>
      <c r="Q76" s="8">
        <v>-7299.0</v>
      </c>
      <c r="S76" s="49"/>
      <c r="W76" s="16"/>
      <c r="X76" s="31"/>
      <c r="Y76" s="63"/>
      <c r="Z76" s="64"/>
    </row>
    <row r="77">
      <c r="A77" s="65" t="s">
        <v>45</v>
      </c>
      <c r="B77" s="78" t="s">
        <v>46</v>
      </c>
      <c r="C77" s="80">
        <v>292.23</v>
      </c>
      <c r="D77" s="80">
        <v>24.98</v>
      </c>
      <c r="E77" s="81">
        <v>7299.0</v>
      </c>
      <c r="F77" s="82">
        <v>45527.0</v>
      </c>
      <c r="G77" s="8">
        <f t="shared" si="2"/>
        <v>-7299</v>
      </c>
      <c r="N77" s="49"/>
      <c r="P77" s="82">
        <v>45527.0</v>
      </c>
      <c r="Q77" s="8">
        <v>-7299.0</v>
      </c>
      <c r="S77" s="49"/>
      <c r="W77" s="16"/>
      <c r="X77" s="31"/>
      <c r="Y77" s="63"/>
      <c r="Z77" s="64"/>
    </row>
    <row r="78">
      <c r="A78" s="65" t="s">
        <v>47</v>
      </c>
      <c r="B78" s="78" t="s">
        <v>46</v>
      </c>
      <c r="C78" s="80">
        <v>20.21</v>
      </c>
      <c r="D78" s="80">
        <v>24.73</v>
      </c>
      <c r="E78" s="80">
        <v>499.0</v>
      </c>
      <c r="F78" s="82">
        <v>45520.0</v>
      </c>
      <c r="G78" s="8">
        <f t="shared" si="2"/>
        <v>-499</v>
      </c>
      <c r="N78" s="49"/>
      <c r="P78" s="82">
        <v>45520.0</v>
      </c>
      <c r="Q78" s="8">
        <v>-499.0</v>
      </c>
      <c r="S78" s="49"/>
      <c r="W78" s="16"/>
      <c r="X78" s="31"/>
      <c r="Y78" s="63"/>
      <c r="Z78" s="64"/>
    </row>
    <row r="79">
      <c r="A79" s="66" t="s">
        <v>50</v>
      </c>
      <c r="B79" s="78" t="s">
        <v>46</v>
      </c>
      <c r="C79" s="80">
        <v>14.71</v>
      </c>
      <c r="D79" s="80">
        <v>34.0</v>
      </c>
      <c r="E79" s="81">
        <v>499.0</v>
      </c>
      <c r="F79" s="82">
        <v>45520.0</v>
      </c>
      <c r="G79" s="8">
        <f t="shared" si="2"/>
        <v>-499</v>
      </c>
      <c r="N79" s="49"/>
      <c r="P79" s="82">
        <v>45520.0</v>
      </c>
      <c r="Q79" s="8">
        <v>-499.0</v>
      </c>
      <c r="S79" s="49"/>
      <c r="W79" s="16"/>
      <c r="X79" s="31"/>
      <c r="Y79" s="63"/>
      <c r="Z79" s="64"/>
    </row>
    <row r="80">
      <c r="A80" s="65" t="s">
        <v>45</v>
      </c>
      <c r="B80" s="78" t="s">
        <v>46</v>
      </c>
      <c r="C80" s="83">
        <v>20.35</v>
      </c>
      <c r="D80" s="80">
        <v>24.57</v>
      </c>
      <c r="E80" s="80">
        <v>499.0</v>
      </c>
      <c r="F80" s="82">
        <v>45520.0</v>
      </c>
      <c r="G80" s="8">
        <f t="shared" si="2"/>
        <v>-499</v>
      </c>
      <c r="N80" s="49"/>
      <c r="P80" s="82">
        <v>45520.0</v>
      </c>
      <c r="Q80" s="8">
        <v>-499.0</v>
      </c>
      <c r="S80" s="49"/>
      <c r="W80" s="16"/>
      <c r="X80" s="31"/>
      <c r="Y80" s="63"/>
      <c r="Z80" s="64"/>
    </row>
    <row r="81">
      <c r="A81" s="66" t="s">
        <v>48</v>
      </c>
      <c r="B81" s="78" t="s">
        <v>46</v>
      </c>
      <c r="C81" s="27">
        <v>16.32</v>
      </c>
      <c r="D81" s="27">
        <v>30.64</v>
      </c>
      <c r="E81" s="27">
        <v>499.0</v>
      </c>
      <c r="F81" s="35">
        <v>45520.0</v>
      </c>
      <c r="G81" s="8">
        <f t="shared" si="2"/>
        <v>-499</v>
      </c>
      <c r="N81" s="49"/>
      <c r="P81" s="35">
        <v>45520.0</v>
      </c>
      <c r="Q81" s="8">
        <v>-499.0</v>
      </c>
      <c r="S81" s="49"/>
      <c r="W81" s="16"/>
      <c r="X81" s="31"/>
      <c r="Y81" s="63"/>
      <c r="Z81" s="64"/>
    </row>
    <row r="82">
      <c r="A82" s="66" t="s">
        <v>48</v>
      </c>
      <c r="B82" s="62" t="s">
        <v>49</v>
      </c>
      <c r="C82" s="27">
        <v>652.89</v>
      </c>
      <c r="D82" s="27">
        <v>30.63</v>
      </c>
      <c r="E82" s="79">
        <v>20000.0</v>
      </c>
      <c r="F82" s="35">
        <v>45518.0</v>
      </c>
      <c r="G82" s="25">
        <f t="shared" si="2"/>
        <v>20000</v>
      </c>
      <c r="N82" s="49"/>
      <c r="P82" s="35">
        <v>45518.0</v>
      </c>
      <c r="Q82" s="25">
        <v>20000.0</v>
      </c>
      <c r="S82" s="49"/>
      <c r="W82" s="16"/>
      <c r="X82" s="31"/>
      <c r="Y82" s="63"/>
      <c r="Z82" s="64"/>
    </row>
    <row r="83">
      <c r="A83" s="65" t="s">
        <v>45</v>
      </c>
      <c r="B83" s="78" t="s">
        <v>46</v>
      </c>
      <c r="C83" s="84">
        <v>411.33</v>
      </c>
      <c r="D83" s="84">
        <v>24.31</v>
      </c>
      <c r="E83" s="85">
        <v>9999.0</v>
      </c>
      <c r="F83" s="86">
        <v>45498.0</v>
      </c>
      <c r="G83" s="8">
        <f t="shared" si="2"/>
        <v>-9999</v>
      </c>
      <c r="N83" s="49"/>
      <c r="P83" s="34">
        <v>45498.0</v>
      </c>
      <c r="Q83" s="8">
        <v>-9999.0</v>
      </c>
      <c r="S83" s="49"/>
      <c r="W83" s="16"/>
      <c r="X83" s="31"/>
      <c r="Y83" s="63"/>
      <c r="Z83" s="64"/>
    </row>
    <row r="84">
      <c r="A84" s="65" t="s">
        <v>47</v>
      </c>
      <c r="B84" s="78" t="s">
        <v>46</v>
      </c>
      <c r="C84" s="84">
        <v>412.32</v>
      </c>
      <c r="D84" s="84">
        <v>24.25</v>
      </c>
      <c r="E84" s="85">
        <v>9999.0</v>
      </c>
      <c r="F84" s="86">
        <v>45498.0</v>
      </c>
      <c r="G84" s="8">
        <f t="shared" si="2"/>
        <v>-9999</v>
      </c>
      <c r="N84" s="49"/>
      <c r="P84" s="34">
        <v>45498.0</v>
      </c>
      <c r="Q84" s="8">
        <v>-9999.0</v>
      </c>
      <c r="S84" s="49"/>
      <c r="W84" s="16"/>
      <c r="X84" s="31"/>
      <c r="Y84" s="63"/>
      <c r="Z84" s="64"/>
    </row>
    <row r="85">
      <c r="A85" s="66" t="s">
        <v>48</v>
      </c>
      <c r="B85" s="78" t="s">
        <v>46</v>
      </c>
      <c r="C85" s="87">
        <v>747.59</v>
      </c>
      <c r="D85" s="84">
        <v>30.43</v>
      </c>
      <c r="E85" s="85">
        <v>22748.0</v>
      </c>
      <c r="F85" s="86">
        <v>45495.0</v>
      </c>
      <c r="G85" s="8">
        <f t="shared" si="2"/>
        <v>-22748</v>
      </c>
      <c r="N85" s="49"/>
      <c r="P85" s="34">
        <v>45495.0</v>
      </c>
      <c r="Q85" s="8">
        <v>-22748.0</v>
      </c>
      <c r="S85" s="49"/>
      <c r="W85" s="16"/>
      <c r="X85" s="31"/>
      <c r="Y85" s="63"/>
      <c r="Z85" s="64"/>
    </row>
    <row r="86">
      <c r="A86" s="66" t="s">
        <v>53</v>
      </c>
      <c r="B86" s="78" t="s">
        <v>49</v>
      </c>
      <c r="C86" s="84">
        <v>62.06</v>
      </c>
      <c r="D86" s="84">
        <v>126.35</v>
      </c>
      <c r="E86" s="85">
        <v>7784.0</v>
      </c>
      <c r="F86" s="86">
        <v>45491.0</v>
      </c>
      <c r="G86" s="25">
        <f t="shared" si="2"/>
        <v>7784</v>
      </c>
      <c r="N86" s="49"/>
      <c r="P86" s="34">
        <v>45491.0</v>
      </c>
      <c r="Q86" s="25">
        <v>7784.0</v>
      </c>
      <c r="S86" s="49"/>
      <c r="W86" s="16"/>
      <c r="X86" s="31"/>
      <c r="Y86" s="63"/>
      <c r="Z86" s="64"/>
    </row>
    <row r="87">
      <c r="A87" s="66" t="s">
        <v>54</v>
      </c>
      <c r="B87" s="48" t="s">
        <v>49</v>
      </c>
      <c r="C87" s="47">
        <v>23.72</v>
      </c>
      <c r="D87" s="84">
        <v>116.7</v>
      </c>
      <c r="E87" s="85">
        <v>2742.0</v>
      </c>
      <c r="F87" s="86">
        <v>45491.0</v>
      </c>
      <c r="G87" s="25">
        <f t="shared" si="2"/>
        <v>2742</v>
      </c>
      <c r="N87" s="49"/>
      <c r="P87" s="34">
        <v>45491.0</v>
      </c>
      <c r="Q87" s="25">
        <v>2742.0</v>
      </c>
      <c r="S87" s="49"/>
      <c r="W87" s="16"/>
      <c r="X87" s="31"/>
      <c r="Y87" s="63"/>
      <c r="Z87" s="64"/>
    </row>
    <row r="88">
      <c r="A88" s="65" t="s">
        <v>55</v>
      </c>
      <c r="B88" s="48" t="s">
        <v>49</v>
      </c>
      <c r="C88" s="47">
        <v>2.51</v>
      </c>
      <c r="D88" s="84">
        <v>39.2</v>
      </c>
      <c r="E88" s="47">
        <v>98.0</v>
      </c>
      <c r="F88" s="86">
        <v>45491.0</v>
      </c>
      <c r="G88" s="8">
        <f t="shared" si="2"/>
        <v>98</v>
      </c>
      <c r="N88" s="49"/>
      <c r="P88" s="34">
        <v>45491.0</v>
      </c>
      <c r="Q88" s="8">
        <v>98.0</v>
      </c>
      <c r="S88" s="49"/>
      <c r="W88" s="16"/>
      <c r="X88" s="31"/>
      <c r="Y88" s="63"/>
      <c r="Z88" s="64"/>
    </row>
    <row r="89">
      <c r="A89" s="66" t="s">
        <v>48</v>
      </c>
      <c r="B89" s="48" t="s">
        <v>46</v>
      </c>
      <c r="C89" s="87">
        <v>16.45</v>
      </c>
      <c r="D89" s="47">
        <v>30.39</v>
      </c>
      <c r="E89" s="47">
        <v>499.0</v>
      </c>
      <c r="F89" s="86">
        <v>45489.0</v>
      </c>
      <c r="G89" s="8">
        <f t="shared" si="2"/>
        <v>-499</v>
      </c>
      <c r="N89" s="49"/>
      <c r="P89" s="34">
        <v>45489.0</v>
      </c>
      <c r="Q89" s="8">
        <v>-499.0</v>
      </c>
      <c r="S89" s="49"/>
      <c r="W89" s="16"/>
      <c r="X89" s="31"/>
      <c r="Y89" s="63"/>
      <c r="Z89" s="64"/>
    </row>
    <row r="90">
      <c r="A90" s="66" t="s">
        <v>53</v>
      </c>
      <c r="B90" s="48" t="s">
        <v>46</v>
      </c>
      <c r="C90" s="87">
        <v>3.92</v>
      </c>
      <c r="D90" s="47">
        <v>127.43</v>
      </c>
      <c r="E90" s="47">
        <v>499.0</v>
      </c>
      <c r="F90" s="86">
        <v>45489.0</v>
      </c>
      <c r="G90" s="8">
        <f t="shared" si="2"/>
        <v>-499</v>
      </c>
      <c r="N90" s="49"/>
      <c r="P90" s="34">
        <v>45489.0</v>
      </c>
      <c r="Q90" s="8">
        <v>-499.0</v>
      </c>
      <c r="S90" s="49"/>
      <c r="W90" s="16"/>
      <c r="X90" s="31"/>
      <c r="Y90" s="63"/>
      <c r="Z90" s="64"/>
    </row>
    <row r="91">
      <c r="A91" s="66" t="s">
        <v>54</v>
      </c>
      <c r="B91" s="48" t="s">
        <v>46</v>
      </c>
      <c r="C91" s="87">
        <v>4.26</v>
      </c>
      <c r="D91" s="47">
        <v>117.27</v>
      </c>
      <c r="E91" s="47">
        <v>499.0</v>
      </c>
      <c r="F91" s="86">
        <v>45489.0</v>
      </c>
      <c r="G91" s="8">
        <f t="shared" si="2"/>
        <v>-499</v>
      </c>
      <c r="N91" s="49"/>
      <c r="P91" s="34">
        <v>45489.0</v>
      </c>
      <c r="Q91" s="8">
        <v>-499.0</v>
      </c>
      <c r="S91" s="49"/>
      <c r="W91" s="16"/>
      <c r="X91" s="31"/>
      <c r="Y91" s="63"/>
      <c r="Z91" s="64"/>
    </row>
    <row r="92">
      <c r="A92" s="66" t="s">
        <v>50</v>
      </c>
      <c r="B92" s="48" t="s">
        <v>46</v>
      </c>
      <c r="C92" s="87">
        <v>13.96</v>
      </c>
      <c r="D92" s="47">
        <v>35.81</v>
      </c>
      <c r="E92" s="47">
        <v>499.0</v>
      </c>
      <c r="F92" s="86">
        <v>45489.0</v>
      </c>
      <c r="G92" s="8">
        <f t="shared" si="2"/>
        <v>-499</v>
      </c>
      <c r="N92" s="49"/>
      <c r="P92" s="34">
        <v>45489.0</v>
      </c>
      <c r="Q92" s="8">
        <v>-499.0</v>
      </c>
      <c r="S92" s="49"/>
      <c r="W92" s="16"/>
      <c r="X92" s="31"/>
      <c r="Y92" s="63"/>
      <c r="Z92" s="64"/>
    </row>
    <row r="93">
      <c r="A93" s="65" t="s">
        <v>56</v>
      </c>
      <c r="B93" s="48" t="s">
        <v>49</v>
      </c>
      <c r="C93" s="47">
        <v>1041.15</v>
      </c>
      <c r="D93" s="47">
        <v>30.9</v>
      </c>
      <c r="E93" s="85">
        <v>32168.0</v>
      </c>
      <c r="F93" s="86">
        <v>45488.0</v>
      </c>
      <c r="G93" s="25">
        <f t="shared" si="2"/>
        <v>32168</v>
      </c>
      <c r="N93" s="49"/>
      <c r="P93" s="34">
        <v>45488.0</v>
      </c>
      <c r="Q93" s="25">
        <v>32168.0</v>
      </c>
      <c r="S93" s="49"/>
      <c r="W93" s="16"/>
      <c r="X93" s="31"/>
      <c r="Y93" s="63"/>
      <c r="Z93" s="64"/>
    </row>
    <row r="94">
      <c r="A94" s="65" t="s">
        <v>57</v>
      </c>
      <c r="B94" s="48" t="s">
        <v>49</v>
      </c>
      <c r="C94" s="47">
        <v>52.61</v>
      </c>
      <c r="D94" s="47">
        <v>365.05</v>
      </c>
      <c r="E94" s="85">
        <v>19203.0</v>
      </c>
      <c r="F94" s="86">
        <v>45488.0</v>
      </c>
      <c r="G94" s="25">
        <f t="shared" si="2"/>
        <v>19203</v>
      </c>
      <c r="N94" s="49"/>
      <c r="P94" s="34">
        <v>45488.0</v>
      </c>
      <c r="Q94" s="25">
        <v>19203.0</v>
      </c>
      <c r="S94" s="49"/>
      <c r="W94" s="16"/>
      <c r="X94" s="31"/>
      <c r="Y94" s="63"/>
      <c r="Z94" s="64"/>
    </row>
    <row r="95">
      <c r="A95" s="65" t="s">
        <v>58</v>
      </c>
      <c r="B95" s="48" t="s">
        <v>49</v>
      </c>
      <c r="C95" s="47">
        <v>2.55</v>
      </c>
      <c r="D95" s="47">
        <v>3891.11</v>
      </c>
      <c r="E95" s="85">
        <v>9926.0</v>
      </c>
      <c r="F95" s="86">
        <v>45488.0</v>
      </c>
      <c r="G95" s="25">
        <f t="shared" si="2"/>
        <v>9926</v>
      </c>
      <c r="N95" s="49"/>
      <c r="P95" s="34">
        <v>45488.0</v>
      </c>
      <c r="Q95" s="25">
        <v>9926.0</v>
      </c>
      <c r="S95" s="49"/>
      <c r="W95" s="16"/>
      <c r="X95" s="31"/>
      <c r="Y95" s="63"/>
      <c r="Z95" s="64"/>
    </row>
    <row r="96">
      <c r="A96" s="66" t="s">
        <v>59</v>
      </c>
      <c r="B96" s="48" t="s">
        <v>49</v>
      </c>
      <c r="C96" s="47">
        <v>134.49</v>
      </c>
      <c r="D96" s="47">
        <v>10.55</v>
      </c>
      <c r="E96" s="85">
        <v>1419.0</v>
      </c>
      <c r="F96" s="86">
        <v>45488.0</v>
      </c>
      <c r="G96" s="25">
        <f t="shared" si="2"/>
        <v>1419</v>
      </c>
      <c r="N96" s="49"/>
      <c r="P96" s="34">
        <v>45488.0</v>
      </c>
      <c r="Q96" s="25">
        <v>1419.0</v>
      </c>
      <c r="S96" s="49"/>
      <c r="W96" s="16"/>
      <c r="X96" s="31"/>
      <c r="Y96" s="63"/>
      <c r="Z96" s="64"/>
    </row>
    <row r="97">
      <c r="A97" s="65" t="s">
        <v>47</v>
      </c>
      <c r="B97" s="48" t="s">
        <v>46</v>
      </c>
      <c r="C97" s="47">
        <v>19.96</v>
      </c>
      <c r="D97" s="47">
        <v>25.04</v>
      </c>
      <c r="E97" s="47">
        <v>499.0</v>
      </c>
      <c r="F97" s="86">
        <v>45489.0</v>
      </c>
      <c r="G97" s="8">
        <f t="shared" si="2"/>
        <v>-499</v>
      </c>
      <c r="N97" s="49"/>
      <c r="P97" s="34">
        <v>45489.0</v>
      </c>
      <c r="Q97" s="8">
        <v>-499.0</v>
      </c>
      <c r="S97" s="49"/>
      <c r="W97" s="16"/>
      <c r="X97" s="31"/>
      <c r="Y97" s="63"/>
      <c r="Z97" s="64"/>
    </row>
    <row r="98">
      <c r="A98" s="65" t="s">
        <v>45</v>
      </c>
      <c r="B98" s="48" t="s">
        <v>46</v>
      </c>
      <c r="C98" s="47">
        <v>20.21</v>
      </c>
      <c r="D98" s="47">
        <v>24.74</v>
      </c>
      <c r="E98" s="47">
        <v>499.0</v>
      </c>
      <c r="F98" s="86">
        <v>45489.0</v>
      </c>
      <c r="G98" s="8">
        <f t="shared" si="2"/>
        <v>-499</v>
      </c>
      <c r="N98" s="49"/>
      <c r="P98" s="34">
        <v>45489.0</v>
      </c>
      <c r="Q98" s="8">
        <v>-499.0</v>
      </c>
      <c r="S98" s="49"/>
      <c r="W98" s="16"/>
      <c r="X98" s="31"/>
      <c r="Y98" s="63"/>
      <c r="Z98" s="64"/>
    </row>
    <row r="99">
      <c r="A99" s="65" t="s">
        <v>55</v>
      </c>
      <c r="B99" s="48" t="s">
        <v>46</v>
      </c>
      <c r="C99" s="47">
        <v>2.51</v>
      </c>
      <c r="D99" s="47">
        <v>39.91</v>
      </c>
      <c r="E99" s="47">
        <v>100.0</v>
      </c>
      <c r="F99" s="86">
        <v>45489.0</v>
      </c>
      <c r="G99" s="8">
        <f t="shared" si="2"/>
        <v>-100</v>
      </c>
      <c r="N99" s="49"/>
      <c r="P99" s="34">
        <v>45489.0</v>
      </c>
      <c r="Q99" s="8">
        <v>-100.0</v>
      </c>
      <c r="S99" s="49"/>
      <c r="W99" s="16"/>
      <c r="X99" s="31"/>
      <c r="Y99" s="63"/>
      <c r="Z99" s="64"/>
    </row>
    <row r="100">
      <c r="A100" s="65" t="s">
        <v>60</v>
      </c>
      <c r="B100" s="78" t="s">
        <v>49</v>
      </c>
      <c r="C100" s="47">
        <v>1551.31</v>
      </c>
      <c r="D100" s="47">
        <v>13.06</v>
      </c>
      <c r="E100" s="85">
        <v>20261.0</v>
      </c>
      <c r="F100" s="88">
        <v>45477.0</v>
      </c>
      <c r="G100" s="25">
        <f t="shared" si="2"/>
        <v>20261</v>
      </c>
      <c r="N100" s="49"/>
      <c r="P100" s="89">
        <v>45477.0</v>
      </c>
      <c r="Q100" s="25">
        <v>20261.0</v>
      </c>
      <c r="S100" s="49"/>
      <c r="W100" s="16"/>
      <c r="X100" s="31"/>
      <c r="Y100" s="63"/>
      <c r="Z100" s="64"/>
    </row>
    <row r="101">
      <c r="A101" s="90" t="s">
        <v>53</v>
      </c>
      <c r="B101" s="62" t="s">
        <v>46</v>
      </c>
      <c r="C101" s="31">
        <v>4.03</v>
      </c>
      <c r="D101" s="31">
        <v>124.0</v>
      </c>
      <c r="E101" s="31">
        <v>499.0</v>
      </c>
      <c r="F101" s="64">
        <v>45462.0</v>
      </c>
      <c r="G101" s="8">
        <f t="shared" si="2"/>
        <v>-499</v>
      </c>
      <c r="N101" s="49"/>
      <c r="P101" s="32">
        <v>45462.0</v>
      </c>
      <c r="Q101" s="8">
        <v>-499.0</v>
      </c>
      <c r="S101" s="49"/>
      <c r="W101" s="16"/>
      <c r="X101" s="31"/>
      <c r="Y101" s="63"/>
      <c r="Z101" s="64"/>
    </row>
    <row r="102">
      <c r="A102" s="90" t="s">
        <v>48</v>
      </c>
      <c r="B102" s="62" t="s">
        <v>46</v>
      </c>
      <c r="C102" s="31">
        <v>16.56</v>
      </c>
      <c r="D102" s="31">
        <v>30.2</v>
      </c>
      <c r="E102" s="31">
        <v>499.0</v>
      </c>
      <c r="F102" s="64">
        <v>45462.0</v>
      </c>
      <c r="G102" s="8">
        <f t="shared" si="2"/>
        <v>-499</v>
      </c>
      <c r="N102" s="49"/>
      <c r="P102" s="32">
        <v>45462.0</v>
      </c>
      <c r="Q102" s="8">
        <v>-499.0</v>
      </c>
      <c r="S102" s="49"/>
      <c r="W102" s="16"/>
      <c r="X102" s="31"/>
      <c r="Y102" s="63"/>
      <c r="Z102" s="64"/>
    </row>
    <row r="103">
      <c r="A103" s="90" t="s">
        <v>54</v>
      </c>
      <c r="B103" s="62" t="s">
        <v>46</v>
      </c>
      <c r="C103" s="31">
        <v>4.43</v>
      </c>
      <c r="D103" s="31">
        <v>112.88</v>
      </c>
      <c r="E103" s="31">
        <v>499.0</v>
      </c>
      <c r="F103" s="64">
        <v>45462.0</v>
      </c>
      <c r="G103" s="8">
        <f t="shared" si="2"/>
        <v>-499</v>
      </c>
      <c r="N103" s="49"/>
      <c r="P103" s="32">
        <v>45462.0</v>
      </c>
      <c r="Q103" s="8">
        <v>-499.0</v>
      </c>
      <c r="S103" s="49"/>
      <c r="W103" s="16"/>
      <c r="X103" s="31"/>
      <c r="Y103" s="63"/>
      <c r="Z103" s="64"/>
    </row>
    <row r="104">
      <c r="A104" s="90" t="s">
        <v>50</v>
      </c>
      <c r="B104" s="62" t="s">
        <v>46</v>
      </c>
      <c r="C104" s="31">
        <v>14.44</v>
      </c>
      <c r="D104" s="31">
        <v>34.62</v>
      </c>
      <c r="E104" s="31">
        <v>499.0</v>
      </c>
      <c r="F104" s="64">
        <v>45462.0</v>
      </c>
      <c r="G104" s="8">
        <f t="shared" si="2"/>
        <v>-499</v>
      </c>
      <c r="N104" s="49"/>
      <c r="P104" s="32">
        <v>45462.0</v>
      </c>
      <c r="Q104" s="8">
        <v>-499.0</v>
      </c>
      <c r="S104" s="49"/>
      <c r="W104" s="16"/>
      <c r="X104" s="31"/>
      <c r="Y104" s="63"/>
      <c r="Z104" s="64"/>
    </row>
    <row r="105">
      <c r="A105" s="90" t="s">
        <v>53</v>
      </c>
      <c r="B105" s="62" t="s">
        <v>46</v>
      </c>
      <c r="C105" s="31">
        <v>4.42</v>
      </c>
      <c r="D105" s="31">
        <v>113.17</v>
      </c>
      <c r="E105" s="31">
        <v>499.0</v>
      </c>
      <c r="F105" s="91">
        <v>45428.0</v>
      </c>
      <c r="G105" s="8">
        <f t="shared" si="2"/>
        <v>-499</v>
      </c>
      <c r="I105" s="92"/>
      <c r="N105" s="49"/>
      <c r="P105" s="32">
        <v>45428.0</v>
      </c>
      <c r="Q105" s="8">
        <v>-499.0</v>
      </c>
      <c r="S105" s="49"/>
      <c r="W105" s="16"/>
      <c r="X105" s="31"/>
      <c r="Y105" s="31"/>
      <c r="Z105" s="64"/>
    </row>
    <row r="106">
      <c r="A106" s="90" t="s">
        <v>48</v>
      </c>
      <c r="B106" s="62" t="s">
        <v>46</v>
      </c>
      <c r="C106" s="31">
        <v>16.69</v>
      </c>
      <c r="D106" s="31">
        <v>29.96</v>
      </c>
      <c r="E106" s="31">
        <v>499.0</v>
      </c>
      <c r="F106" s="91">
        <v>45428.0</v>
      </c>
      <c r="G106" s="8">
        <f t="shared" si="2"/>
        <v>-499</v>
      </c>
      <c r="I106" s="92"/>
      <c r="N106" s="49"/>
      <c r="P106" s="32">
        <v>45428.0</v>
      </c>
      <c r="Q106" s="8">
        <v>-499.0</v>
      </c>
      <c r="S106" s="49"/>
      <c r="W106" s="16"/>
      <c r="X106" s="31"/>
      <c r="Y106" s="31"/>
      <c r="Z106" s="64"/>
    </row>
    <row r="107">
      <c r="A107" s="90" t="s">
        <v>50</v>
      </c>
      <c r="B107" s="62" t="s">
        <v>46</v>
      </c>
      <c r="C107" s="31">
        <v>15.59</v>
      </c>
      <c r="D107" s="31">
        <v>32.07</v>
      </c>
      <c r="E107" s="31">
        <v>499.0</v>
      </c>
      <c r="F107" s="91">
        <v>45428.0</v>
      </c>
      <c r="G107" s="8">
        <f t="shared" si="2"/>
        <v>-499</v>
      </c>
      <c r="I107" s="92"/>
      <c r="N107" s="49"/>
      <c r="P107" s="32">
        <v>45428.0</v>
      </c>
      <c r="Q107" s="8">
        <v>-499.0</v>
      </c>
      <c r="S107" s="49"/>
      <c r="W107" s="16"/>
      <c r="X107" s="31"/>
      <c r="Y107" s="31"/>
      <c r="Z107" s="64"/>
    </row>
    <row r="108">
      <c r="A108" s="90" t="s">
        <v>54</v>
      </c>
      <c r="B108" s="62" t="s">
        <v>46</v>
      </c>
      <c r="C108" s="31">
        <v>4.8</v>
      </c>
      <c r="D108" s="31">
        <v>104.16</v>
      </c>
      <c r="E108" s="31">
        <v>499.0</v>
      </c>
      <c r="F108" s="91">
        <v>45428.0</v>
      </c>
      <c r="G108" s="8">
        <f t="shared" si="2"/>
        <v>-499</v>
      </c>
      <c r="I108" s="92"/>
      <c r="N108" s="49"/>
      <c r="P108" s="32">
        <v>45428.0</v>
      </c>
      <c r="Q108" s="8">
        <v>-499.0</v>
      </c>
      <c r="S108" s="49"/>
      <c r="W108" s="16"/>
      <c r="X108" s="31"/>
      <c r="Y108" s="31"/>
      <c r="Z108" s="64"/>
    </row>
    <row r="109">
      <c r="A109" s="90" t="s">
        <v>48</v>
      </c>
      <c r="B109" s="62" t="s">
        <v>46</v>
      </c>
      <c r="C109" s="31">
        <v>16.81</v>
      </c>
      <c r="D109" s="31">
        <v>29.74</v>
      </c>
      <c r="E109" s="31">
        <v>499.0</v>
      </c>
      <c r="F109" s="64">
        <v>45398.0</v>
      </c>
      <c r="G109" s="8">
        <f t="shared" si="2"/>
        <v>-499</v>
      </c>
      <c r="I109" s="34"/>
      <c r="N109" s="49"/>
      <c r="P109" s="32">
        <v>45398.0</v>
      </c>
      <c r="Q109" s="8">
        <v>-499.0</v>
      </c>
      <c r="S109" s="49"/>
      <c r="W109" s="16"/>
      <c r="X109" s="31"/>
      <c r="Y109" s="31"/>
      <c r="Z109" s="64"/>
    </row>
    <row r="110">
      <c r="A110" s="90" t="s">
        <v>53</v>
      </c>
      <c r="B110" s="62" t="s">
        <v>46</v>
      </c>
      <c r="C110" s="31">
        <v>4.72</v>
      </c>
      <c r="D110" s="31">
        <v>105.98</v>
      </c>
      <c r="E110" s="31">
        <v>499.0</v>
      </c>
      <c r="F110" s="64">
        <v>45398.0</v>
      </c>
      <c r="G110" s="8">
        <f t="shared" si="2"/>
        <v>-499</v>
      </c>
      <c r="I110" s="34"/>
      <c r="N110" s="49"/>
      <c r="P110" s="32">
        <v>45398.0</v>
      </c>
      <c r="Q110" s="8">
        <v>-499.0</v>
      </c>
      <c r="S110" s="49"/>
      <c r="W110" s="16"/>
      <c r="X110" s="31"/>
      <c r="Y110" s="63"/>
      <c r="Z110" s="64"/>
    </row>
    <row r="111">
      <c r="A111" s="90" t="s">
        <v>54</v>
      </c>
      <c r="B111" s="62" t="s">
        <v>46</v>
      </c>
      <c r="C111" s="31">
        <v>4.97</v>
      </c>
      <c r="D111" s="31">
        <v>100.66</v>
      </c>
      <c r="E111" s="31">
        <v>499.0</v>
      </c>
      <c r="F111" s="64">
        <v>45398.0</v>
      </c>
      <c r="G111" s="8">
        <f t="shared" si="2"/>
        <v>-499</v>
      </c>
      <c r="I111" s="34"/>
      <c r="N111" s="49"/>
      <c r="P111" s="32">
        <v>45398.0</v>
      </c>
      <c r="Q111" s="8">
        <v>-499.0</v>
      </c>
      <c r="S111" s="49"/>
      <c r="W111" s="16"/>
      <c r="X111" s="31"/>
      <c r="Y111" s="63"/>
      <c r="Z111" s="64"/>
    </row>
    <row r="112">
      <c r="A112" s="90" t="s">
        <v>50</v>
      </c>
      <c r="B112" s="62" t="s">
        <v>46</v>
      </c>
      <c r="C112" s="31">
        <v>15.83</v>
      </c>
      <c r="D112" s="31">
        <v>31.59</v>
      </c>
      <c r="E112" s="31">
        <v>499.0</v>
      </c>
      <c r="F112" s="64">
        <v>45397.0</v>
      </c>
      <c r="G112" s="8">
        <f t="shared" si="2"/>
        <v>-499</v>
      </c>
      <c r="I112" s="34"/>
      <c r="N112" s="49"/>
      <c r="P112" s="32">
        <v>45397.0</v>
      </c>
      <c r="Q112" s="8">
        <v>-499.0</v>
      </c>
      <c r="S112" s="49"/>
      <c r="W112" s="16"/>
      <c r="X112" s="31"/>
      <c r="Y112" s="63"/>
      <c r="Z112" s="64"/>
    </row>
    <row r="113">
      <c r="A113" s="90" t="s">
        <v>53</v>
      </c>
      <c r="B113" s="62" t="s">
        <v>46</v>
      </c>
      <c r="C113" s="31">
        <v>4.98</v>
      </c>
      <c r="D113" s="31">
        <v>100.32</v>
      </c>
      <c r="E113" s="31">
        <v>499.0</v>
      </c>
      <c r="F113" s="64">
        <v>45369.0</v>
      </c>
      <c r="G113" s="8">
        <f t="shared" si="2"/>
        <v>-499</v>
      </c>
      <c r="I113" s="34"/>
      <c r="N113" s="49"/>
      <c r="P113" s="32">
        <v>45369.0</v>
      </c>
      <c r="Q113" s="8">
        <v>-499.0</v>
      </c>
      <c r="S113" s="49"/>
      <c r="W113" s="16"/>
      <c r="X113" s="31"/>
      <c r="Y113" s="63"/>
      <c r="Z113" s="64"/>
    </row>
    <row r="114">
      <c r="A114" s="90" t="s">
        <v>48</v>
      </c>
      <c r="B114" s="62" t="s">
        <v>46</v>
      </c>
      <c r="C114" s="31">
        <v>16.89</v>
      </c>
      <c r="D114" s="31">
        <v>29.6</v>
      </c>
      <c r="E114" s="31">
        <v>499.0</v>
      </c>
      <c r="F114" s="64">
        <v>45366.0</v>
      </c>
      <c r="G114" s="8">
        <f t="shared" si="2"/>
        <v>-499</v>
      </c>
      <c r="I114" s="34"/>
      <c r="N114" s="49"/>
      <c r="P114" s="32">
        <v>45366.0</v>
      </c>
      <c r="Q114" s="8">
        <v>-499.0</v>
      </c>
      <c r="S114" s="49"/>
      <c r="W114" s="16"/>
      <c r="X114" s="31"/>
      <c r="Y114" s="31"/>
      <c r="Z114" s="64"/>
    </row>
    <row r="115">
      <c r="A115" s="84" t="s">
        <v>54</v>
      </c>
      <c r="B115" s="62" t="s">
        <v>46</v>
      </c>
      <c r="C115" s="31">
        <v>5.26</v>
      </c>
      <c r="D115" s="31">
        <v>95.08</v>
      </c>
      <c r="E115" s="31">
        <v>499.0</v>
      </c>
      <c r="F115" s="64">
        <v>45366.0</v>
      </c>
      <c r="G115" s="8">
        <f t="shared" si="2"/>
        <v>-499</v>
      </c>
      <c r="I115" s="34"/>
      <c r="N115" s="49"/>
      <c r="P115" s="32">
        <v>45366.0</v>
      </c>
      <c r="Q115" s="8">
        <v>-499.0</v>
      </c>
      <c r="S115" s="49"/>
      <c r="W115" s="16"/>
      <c r="X115" s="31"/>
      <c r="Y115" s="31"/>
      <c r="Z115" s="64"/>
    </row>
    <row r="116">
      <c r="A116" s="84" t="s">
        <v>50</v>
      </c>
      <c r="B116" s="62" t="s">
        <v>46</v>
      </c>
      <c r="C116" s="31">
        <v>16.15</v>
      </c>
      <c r="D116" s="31">
        <v>30.96</v>
      </c>
      <c r="E116" s="31">
        <v>499.0</v>
      </c>
      <c r="F116" s="64">
        <v>45366.0</v>
      </c>
      <c r="G116" s="8">
        <f t="shared" si="2"/>
        <v>-499</v>
      </c>
      <c r="I116" s="34"/>
      <c r="N116" s="49"/>
      <c r="P116" s="32">
        <v>45366.0</v>
      </c>
      <c r="Q116" s="8">
        <v>-499.0</v>
      </c>
      <c r="S116" s="49"/>
      <c r="W116" s="16"/>
      <c r="X116" s="31"/>
      <c r="Y116" s="31"/>
      <c r="Z116" s="64"/>
    </row>
    <row r="117">
      <c r="A117" s="84" t="s">
        <v>56</v>
      </c>
      <c r="B117" s="62" t="s">
        <v>61</v>
      </c>
      <c r="C117" s="31">
        <v>1041.15</v>
      </c>
      <c r="D117" s="31">
        <v>30.11</v>
      </c>
      <c r="E117" s="93">
        <v>31349.0</v>
      </c>
      <c r="F117" s="64">
        <v>45363.0</v>
      </c>
      <c r="G117" s="8">
        <f t="shared" si="2"/>
        <v>-31349</v>
      </c>
      <c r="I117" s="34"/>
      <c r="N117" s="49"/>
      <c r="P117" s="32">
        <v>45337.0</v>
      </c>
      <c r="Q117" s="8">
        <v>-499.0</v>
      </c>
      <c r="S117" s="49"/>
      <c r="W117" s="16"/>
      <c r="X117" s="31"/>
      <c r="Y117" s="63"/>
      <c r="Z117" s="94"/>
    </row>
    <row r="118">
      <c r="A118" s="84" t="s">
        <v>60</v>
      </c>
      <c r="B118" s="62" t="s">
        <v>61</v>
      </c>
      <c r="C118" s="31">
        <v>1551.32</v>
      </c>
      <c r="D118" s="31">
        <v>12.79</v>
      </c>
      <c r="E118" s="95">
        <v>19834.0</v>
      </c>
      <c r="F118" s="94">
        <v>45358.0</v>
      </c>
      <c r="G118" s="8">
        <f t="shared" si="2"/>
        <v>-19834</v>
      </c>
      <c r="I118" s="89"/>
      <c r="N118" s="49"/>
      <c r="P118" s="32">
        <v>45337.0</v>
      </c>
      <c r="Q118" s="8">
        <v>-499.0</v>
      </c>
      <c r="S118" s="49"/>
      <c r="W118" s="16"/>
    </row>
    <row r="119">
      <c r="A119" s="84" t="s">
        <v>62</v>
      </c>
      <c r="B119" s="62" t="s">
        <v>63</v>
      </c>
      <c r="C119" s="31">
        <v>635.66</v>
      </c>
      <c r="D119" s="31">
        <v>31.2</v>
      </c>
      <c r="E119" s="95">
        <v>19835.0</v>
      </c>
      <c r="F119" s="94">
        <v>45358.0</v>
      </c>
      <c r="G119" s="25">
        <f t="shared" si="2"/>
        <v>19835</v>
      </c>
      <c r="I119" s="89"/>
      <c r="J119" s="25"/>
      <c r="N119" s="49"/>
      <c r="P119" s="32">
        <v>45337.0</v>
      </c>
      <c r="Q119" s="8">
        <v>-499.0</v>
      </c>
      <c r="S119" s="49"/>
      <c r="W119" s="16"/>
    </row>
    <row r="120">
      <c r="A120" s="84" t="s">
        <v>54</v>
      </c>
      <c r="B120" s="62" t="s">
        <v>63</v>
      </c>
      <c r="C120" s="31">
        <v>317.83</v>
      </c>
      <c r="D120" s="31">
        <v>98.64</v>
      </c>
      <c r="E120" s="93">
        <v>31350.0</v>
      </c>
      <c r="F120" s="94">
        <v>45358.0</v>
      </c>
      <c r="G120" s="25">
        <f t="shared" si="2"/>
        <v>31350</v>
      </c>
      <c r="I120" s="89"/>
      <c r="J120" s="25"/>
      <c r="N120" s="49"/>
      <c r="P120" s="32">
        <v>45337.0</v>
      </c>
      <c r="Q120" s="8">
        <v>-499.0</v>
      </c>
      <c r="S120" s="49"/>
      <c r="W120" s="16"/>
    </row>
    <row r="121">
      <c r="A121" s="84" t="s">
        <v>53</v>
      </c>
      <c r="B121" s="62" t="s">
        <v>46</v>
      </c>
      <c r="C121" s="31">
        <v>4.97</v>
      </c>
      <c r="D121" s="31">
        <v>100.52</v>
      </c>
      <c r="E121" s="31">
        <v>499.0</v>
      </c>
      <c r="F121" s="64">
        <v>45337.0</v>
      </c>
      <c r="G121" s="8">
        <f t="shared" si="2"/>
        <v>-499</v>
      </c>
      <c r="I121" s="34"/>
      <c r="N121" s="49"/>
      <c r="P121" s="32">
        <v>45307.0</v>
      </c>
      <c r="Q121" s="8">
        <v>-499.0</v>
      </c>
      <c r="S121" s="49"/>
      <c r="W121" s="16"/>
    </row>
    <row r="122">
      <c r="A122" s="84" t="s">
        <v>50</v>
      </c>
      <c r="B122" s="62" t="s">
        <v>46</v>
      </c>
      <c r="C122" s="31">
        <v>16.3</v>
      </c>
      <c r="D122" s="31">
        <v>30.68</v>
      </c>
      <c r="E122" s="31">
        <v>499.0</v>
      </c>
      <c r="F122" s="64">
        <v>45337.0</v>
      </c>
      <c r="G122" s="8">
        <f t="shared" si="2"/>
        <v>-499</v>
      </c>
      <c r="I122" s="34"/>
      <c r="N122" s="49"/>
      <c r="P122" s="32">
        <v>45306.0</v>
      </c>
      <c r="Q122" s="8">
        <v>-499.0</v>
      </c>
      <c r="S122" s="49"/>
      <c r="W122" s="16"/>
    </row>
    <row r="123">
      <c r="A123" s="84" t="s">
        <v>48</v>
      </c>
      <c r="B123" s="62" t="s">
        <v>46</v>
      </c>
      <c r="C123" s="31">
        <v>17.01</v>
      </c>
      <c r="D123" s="31">
        <v>29.39</v>
      </c>
      <c r="E123" s="31">
        <v>499.0</v>
      </c>
      <c r="F123" s="64">
        <v>45337.0</v>
      </c>
      <c r="G123" s="8">
        <f t="shared" si="2"/>
        <v>-499</v>
      </c>
      <c r="I123" s="34"/>
      <c r="N123" s="49"/>
      <c r="P123" s="32">
        <v>45306.0</v>
      </c>
      <c r="Q123" s="8">
        <v>-499.0</v>
      </c>
      <c r="S123" s="49"/>
      <c r="W123" s="16"/>
    </row>
    <row r="124">
      <c r="A124" s="84" t="s">
        <v>54</v>
      </c>
      <c r="B124" s="62" t="s">
        <v>46</v>
      </c>
      <c r="C124" s="31">
        <v>4.98</v>
      </c>
      <c r="D124" s="31">
        <v>100.36</v>
      </c>
      <c r="E124" s="31">
        <v>499.0</v>
      </c>
      <c r="F124" s="64">
        <v>45337.0</v>
      </c>
      <c r="G124" s="8">
        <f t="shared" si="2"/>
        <v>-499</v>
      </c>
      <c r="I124" s="34"/>
      <c r="N124" s="49"/>
      <c r="P124" s="32">
        <v>45306.0</v>
      </c>
      <c r="Q124" s="8">
        <v>-499.0</v>
      </c>
      <c r="S124" s="49"/>
      <c r="W124" s="16"/>
    </row>
    <row r="125">
      <c r="A125" s="84" t="s">
        <v>59</v>
      </c>
      <c r="B125" s="62" t="s">
        <v>61</v>
      </c>
      <c r="C125" s="31">
        <v>134.49</v>
      </c>
      <c r="D125" s="31">
        <v>10.18</v>
      </c>
      <c r="E125" s="93">
        <v>1368.0</v>
      </c>
      <c r="F125" s="64">
        <v>45315.0</v>
      </c>
      <c r="G125" s="8">
        <f t="shared" si="2"/>
        <v>-1368</v>
      </c>
      <c r="I125" s="34"/>
      <c r="N125" s="49"/>
      <c r="P125" s="32">
        <v>45275.0</v>
      </c>
      <c r="Q125" s="8">
        <v>-499.0</v>
      </c>
      <c r="S125" s="49"/>
      <c r="W125" s="16"/>
    </row>
    <row r="126">
      <c r="A126" s="84" t="s">
        <v>57</v>
      </c>
      <c r="B126" s="62" t="s">
        <v>61</v>
      </c>
      <c r="C126" s="31">
        <v>52.61</v>
      </c>
      <c r="D126" s="31">
        <v>352.45</v>
      </c>
      <c r="E126" s="95">
        <v>18541.0</v>
      </c>
      <c r="F126" s="64">
        <v>45314.0</v>
      </c>
      <c r="G126" s="8">
        <f t="shared" si="2"/>
        <v>-18541</v>
      </c>
      <c r="I126" s="34"/>
      <c r="N126" s="49"/>
      <c r="P126" s="32">
        <v>45275.0</v>
      </c>
      <c r="Q126" s="8">
        <v>-199.0</v>
      </c>
      <c r="S126" s="49"/>
      <c r="W126" s="16"/>
    </row>
    <row r="127">
      <c r="A127" s="84" t="s">
        <v>58</v>
      </c>
      <c r="B127" s="62" t="s">
        <v>61</v>
      </c>
      <c r="C127" s="31">
        <v>2.55</v>
      </c>
      <c r="D127" s="31">
        <v>3757.76</v>
      </c>
      <c r="E127" s="96">
        <v>9584.0</v>
      </c>
      <c r="F127" s="64">
        <v>45314.0</v>
      </c>
      <c r="G127" s="8">
        <f t="shared" si="2"/>
        <v>-9584</v>
      </c>
      <c r="I127" s="34"/>
      <c r="N127" s="49"/>
      <c r="P127" s="32">
        <v>45275.0</v>
      </c>
      <c r="Q127" s="8">
        <v>-100.0</v>
      </c>
      <c r="S127" s="49"/>
      <c r="W127" s="16"/>
    </row>
    <row r="128">
      <c r="A128" s="84" t="s">
        <v>64</v>
      </c>
      <c r="B128" s="62" t="s">
        <v>63</v>
      </c>
      <c r="C128" s="31">
        <v>19.19</v>
      </c>
      <c r="D128" s="31">
        <v>71.31</v>
      </c>
      <c r="E128" s="93">
        <v>1368.0</v>
      </c>
      <c r="F128" s="64">
        <v>45310.0</v>
      </c>
      <c r="G128" s="25">
        <f t="shared" si="2"/>
        <v>1368</v>
      </c>
      <c r="I128" s="34"/>
      <c r="J128" s="25"/>
      <c r="N128" s="49"/>
      <c r="P128" s="32">
        <v>45275.0</v>
      </c>
      <c r="Q128" s="8">
        <v>-199.0</v>
      </c>
      <c r="S128" s="49"/>
      <c r="W128" s="16"/>
      <c r="Y128" s="16"/>
      <c r="Z128" s="16"/>
    </row>
    <row r="129">
      <c r="A129" s="84" t="s">
        <v>65</v>
      </c>
      <c r="B129" s="62" t="s">
        <v>63</v>
      </c>
      <c r="C129" s="31">
        <v>194.61</v>
      </c>
      <c r="D129" s="31">
        <v>49.25</v>
      </c>
      <c r="E129" s="96">
        <v>9585.0</v>
      </c>
      <c r="F129" s="64">
        <v>45310.0</v>
      </c>
      <c r="G129" s="25">
        <f t="shared" si="2"/>
        <v>9585</v>
      </c>
      <c r="I129" s="34"/>
      <c r="J129" s="25"/>
      <c r="N129" s="49"/>
      <c r="P129" s="32">
        <v>45275.0</v>
      </c>
      <c r="Q129" s="8">
        <v>-499.0</v>
      </c>
      <c r="S129" s="49"/>
      <c r="W129" s="16"/>
      <c r="Y129" s="16"/>
      <c r="Z129" s="16"/>
    </row>
    <row r="130">
      <c r="A130" s="84" t="s">
        <v>66</v>
      </c>
      <c r="B130" s="62" t="s">
        <v>63</v>
      </c>
      <c r="C130" s="31">
        <v>794.59</v>
      </c>
      <c r="D130" s="31">
        <v>23.34</v>
      </c>
      <c r="E130" s="95">
        <v>18541.0</v>
      </c>
      <c r="F130" s="64">
        <v>45310.0</v>
      </c>
      <c r="G130" s="25">
        <f t="shared" si="2"/>
        <v>18541</v>
      </c>
      <c r="I130" s="34"/>
      <c r="J130" s="25"/>
      <c r="N130" s="49"/>
      <c r="P130" s="32">
        <v>45275.0</v>
      </c>
      <c r="Q130" s="8">
        <v>-499.0</v>
      </c>
      <c r="S130" s="49"/>
      <c r="W130" s="16"/>
    </row>
    <row r="131">
      <c r="A131" s="84" t="s">
        <v>48</v>
      </c>
      <c r="B131" s="62" t="s">
        <v>46</v>
      </c>
      <c r="C131" s="31">
        <v>17.13</v>
      </c>
      <c r="D131" s="31">
        <v>29.19</v>
      </c>
      <c r="E131" s="31">
        <v>499.0</v>
      </c>
      <c r="F131" s="64">
        <v>45307.0</v>
      </c>
      <c r="G131" s="8">
        <f t="shared" si="2"/>
        <v>-499</v>
      </c>
      <c r="I131" s="34"/>
      <c r="N131" s="49"/>
      <c r="P131" s="32">
        <v>45245.0</v>
      </c>
      <c r="Q131" s="8">
        <v>-199.0</v>
      </c>
      <c r="S131" s="49"/>
      <c r="W131" s="16"/>
    </row>
    <row r="132">
      <c r="A132" s="84" t="s">
        <v>50</v>
      </c>
      <c r="B132" s="62" t="s">
        <v>46</v>
      </c>
      <c r="C132" s="31">
        <v>17.21</v>
      </c>
      <c r="D132" s="31">
        <v>29.04</v>
      </c>
      <c r="E132" s="31">
        <v>499.0</v>
      </c>
      <c r="F132" s="64">
        <v>45306.0</v>
      </c>
      <c r="G132" s="8">
        <f t="shared" si="2"/>
        <v>-499</v>
      </c>
      <c r="I132" s="34"/>
      <c r="N132" s="49"/>
      <c r="P132" s="32">
        <v>45245.0</v>
      </c>
      <c r="Q132" s="8">
        <v>-499.0</v>
      </c>
      <c r="S132" s="49"/>
      <c r="W132" s="16"/>
    </row>
    <row r="133">
      <c r="A133" s="84" t="s">
        <v>53</v>
      </c>
      <c r="B133" s="62" t="s">
        <v>46</v>
      </c>
      <c r="C133" s="31">
        <v>5.03</v>
      </c>
      <c r="D133" s="31">
        <v>99.38</v>
      </c>
      <c r="E133" s="31">
        <v>499.0</v>
      </c>
      <c r="F133" s="64">
        <v>45306.0</v>
      </c>
      <c r="G133" s="8">
        <f t="shared" si="2"/>
        <v>-499</v>
      </c>
      <c r="I133" s="34"/>
      <c r="N133" s="49"/>
      <c r="P133" s="32">
        <v>45245.0</v>
      </c>
      <c r="Q133" s="8">
        <v>-499.0</v>
      </c>
      <c r="S133" s="49"/>
      <c r="W133" s="16"/>
    </row>
    <row r="134">
      <c r="A134" s="84" t="s">
        <v>54</v>
      </c>
      <c r="B134" s="62" t="s">
        <v>46</v>
      </c>
      <c r="C134" s="31">
        <v>5.04</v>
      </c>
      <c r="D134" s="31">
        <v>99.11</v>
      </c>
      <c r="E134" s="31">
        <v>499.0</v>
      </c>
      <c r="F134" s="64">
        <v>45306.0</v>
      </c>
      <c r="G134" s="8">
        <f t="shared" si="2"/>
        <v>-499</v>
      </c>
      <c r="I134" s="34"/>
      <c r="N134" s="49"/>
      <c r="P134" s="32">
        <v>45245.0</v>
      </c>
      <c r="Q134" s="8">
        <v>-199.0</v>
      </c>
      <c r="S134" s="49"/>
      <c r="W134" s="16"/>
    </row>
    <row r="135">
      <c r="A135" s="84" t="s">
        <v>53</v>
      </c>
      <c r="B135" s="62" t="s">
        <v>46</v>
      </c>
      <c r="C135" s="31">
        <v>5.14</v>
      </c>
      <c r="D135" s="31">
        <v>97.19</v>
      </c>
      <c r="E135" s="31">
        <v>499.0</v>
      </c>
      <c r="F135" s="64">
        <v>45275.0</v>
      </c>
      <c r="G135" s="8">
        <f t="shared" si="2"/>
        <v>-499</v>
      </c>
      <c r="H135" s="61" t="s">
        <v>67</v>
      </c>
      <c r="I135" s="34"/>
      <c r="N135" s="49"/>
      <c r="P135" s="32">
        <v>45245.0</v>
      </c>
      <c r="Q135" s="8">
        <v>-100.0</v>
      </c>
      <c r="S135" s="49"/>
      <c r="W135" s="16"/>
    </row>
    <row r="136">
      <c r="A136" s="84" t="s">
        <v>68</v>
      </c>
      <c r="B136" s="62" t="s">
        <v>46</v>
      </c>
      <c r="C136" s="31">
        <v>8.6</v>
      </c>
      <c r="D136" s="31">
        <v>23.27</v>
      </c>
      <c r="E136" s="31">
        <v>199.0</v>
      </c>
      <c r="F136" s="64">
        <v>45275.0</v>
      </c>
      <c r="G136" s="8">
        <f t="shared" si="2"/>
        <v>-199</v>
      </c>
      <c r="I136" s="34"/>
      <c r="N136" s="49"/>
      <c r="P136" s="32">
        <v>45245.0</v>
      </c>
      <c r="Q136" s="8">
        <v>-499.0</v>
      </c>
      <c r="S136" s="49"/>
      <c r="W136" s="16"/>
    </row>
    <row r="137">
      <c r="A137" s="84" t="s">
        <v>48</v>
      </c>
      <c r="B137" s="62" t="s">
        <v>46</v>
      </c>
      <c r="C137" s="31">
        <v>3.45</v>
      </c>
      <c r="D137" s="31">
        <v>28.99</v>
      </c>
      <c r="E137" s="31">
        <v>100.0</v>
      </c>
      <c r="F137" s="64">
        <v>45275.0</v>
      </c>
      <c r="G137" s="8">
        <f t="shared" si="2"/>
        <v>-100</v>
      </c>
      <c r="I137" s="34"/>
      <c r="N137" s="49"/>
      <c r="P137" s="32">
        <v>45215.0</v>
      </c>
      <c r="Q137" s="8">
        <v>-199.0</v>
      </c>
      <c r="S137" s="49"/>
      <c r="W137" s="16"/>
    </row>
    <row r="138">
      <c r="A138" s="84" t="s">
        <v>65</v>
      </c>
      <c r="B138" s="62" t="s">
        <v>46</v>
      </c>
      <c r="C138" s="31">
        <v>4.23</v>
      </c>
      <c r="D138" s="31">
        <v>47.26</v>
      </c>
      <c r="E138" s="31">
        <v>199.0</v>
      </c>
      <c r="F138" s="64">
        <v>45275.0</v>
      </c>
      <c r="G138" s="8">
        <f t="shared" si="2"/>
        <v>-199</v>
      </c>
      <c r="I138" s="34"/>
      <c r="N138" s="49"/>
      <c r="P138" s="32">
        <v>45215.0</v>
      </c>
      <c r="Q138" s="8">
        <v>-499.0</v>
      </c>
      <c r="S138" s="49"/>
      <c r="W138" s="16"/>
    </row>
    <row r="139">
      <c r="A139" s="84" t="s">
        <v>50</v>
      </c>
      <c r="B139" s="62" t="s">
        <v>46</v>
      </c>
      <c r="C139" s="31">
        <v>17.42</v>
      </c>
      <c r="D139" s="31">
        <v>28.7</v>
      </c>
      <c r="E139" s="31">
        <v>499.0</v>
      </c>
      <c r="F139" s="64">
        <v>45275.0</v>
      </c>
      <c r="G139" s="8">
        <f t="shared" si="2"/>
        <v>-499</v>
      </c>
      <c r="I139" s="34"/>
      <c r="N139" s="49"/>
      <c r="P139" s="32">
        <v>45215.0</v>
      </c>
      <c r="Q139" s="8">
        <v>-499.0</v>
      </c>
      <c r="S139" s="49"/>
      <c r="W139" s="16"/>
    </row>
    <row r="140">
      <c r="A140" s="84" t="s">
        <v>54</v>
      </c>
      <c r="B140" s="62" t="s">
        <v>46</v>
      </c>
      <c r="C140" s="31">
        <v>5.2</v>
      </c>
      <c r="D140" s="31">
        <v>96.17</v>
      </c>
      <c r="E140" s="31">
        <v>499.0</v>
      </c>
      <c r="F140" s="64">
        <v>45275.0</v>
      </c>
      <c r="G140" s="8">
        <f t="shared" si="2"/>
        <v>-499</v>
      </c>
      <c r="I140" s="34"/>
      <c r="N140" s="49"/>
      <c r="P140" s="32">
        <v>45215.0</v>
      </c>
      <c r="Q140" s="8">
        <v>-499.0</v>
      </c>
      <c r="S140" s="49"/>
      <c r="W140" s="16"/>
    </row>
    <row r="141">
      <c r="A141" s="84" t="s">
        <v>65</v>
      </c>
      <c r="B141" s="62" t="s">
        <v>46</v>
      </c>
      <c r="C141" s="31">
        <v>4.67</v>
      </c>
      <c r="D141" s="31">
        <v>42.83</v>
      </c>
      <c r="E141" s="31">
        <v>199.0</v>
      </c>
      <c r="F141" s="64">
        <v>45245.0</v>
      </c>
      <c r="G141" s="8">
        <f t="shared" si="2"/>
        <v>-199</v>
      </c>
      <c r="I141" s="34"/>
      <c r="N141" s="49"/>
      <c r="P141" s="32">
        <v>45215.0</v>
      </c>
      <c r="Q141" s="8">
        <v>-199.0</v>
      </c>
      <c r="S141" s="49"/>
      <c r="W141" s="16"/>
    </row>
    <row r="142">
      <c r="A142" s="84" t="s">
        <v>54</v>
      </c>
      <c r="B142" s="62" t="s">
        <v>46</v>
      </c>
      <c r="C142" s="31">
        <v>5.44</v>
      </c>
      <c r="D142" s="31">
        <v>91.87</v>
      </c>
      <c r="E142" s="31">
        <v>499.0</v>
      </c>
      <c r="F142" s="64">
        <v>45245.0</v>
      </c>
      <c r="G142" s="8">
        <f t="shared" si="2"/>
        <v>-499</v>
      </c>
      <c r="I142" s="34"/>
      <c r="N142" s="49"/>
      <c r="P142" s="32">
        <v>45215.0</v>
      </c>
      <c r="Q142" s="8">
        <v>-100.0</v>
      </c>
      <c r="S142" s="49"/>
      <c r="W142" s="16"/>
    </row>
    <row r="143">
      <c r="A143" s="84" t="s">
        <v>50</v>
      </c>
      <c r="B143" s="62" t="s">
        <v>46</v>
      </c>
      <c r="C143" s="31">
        <v>18.32</v>
      </c>
      <c r="D143" s="31">
        <v>27.3</v>
      </c>
      <c r="E143" s="31">
        <v>499.0</v>
      </c>
      <c r="F143" s="64">
        <v>45245.0</v>
      </c>
      <c r="G143" s="8">
        <f t="shared" si="2"/>
        <v>-499</v>
      </c>
      <c r="I143" s="34"/>
      <c r="N143" s="49"/>
      <c r="P143" s="32">
        <v>45184.0</v>
      </c>
      <c r="Q143" s="8">
        <v>-499.0</v>
      </c>
      <c r="S143" s="49"/>
      <c r="W143" s="16"/>
    </row>
    <row r="144">
      <c r="A144" s="84" t="s">
        <v>68</v>
      </c>
      <c r="B144" s="62" t="s">
        <v>46</v>
      </c>
      <c r="C144" s="31">
        <v>9.36</v>
      </c>
      <c r="D144" s="31">
        <v>21.38</v>
      </c>
      <c r="E144" s="31">
        <v>199.0</v>
      </c>
      <c r="F144" s="64">
        <v>45245.0</v>
      </c>
      <c r="G144" s="8">
        <f t="shared" si="2"/>
        <v>-199</v>
      </c>
      <c r="I144" s="34"/>
      <c r="N144" s="49"/>
      <c r="P144" s="32">
        <v>45184.0</v>
      </c>
      <c r="Q144" s="8">
        <v>-199.0</v>
      </c>
      <c r="S144" s="49"/>
      <c r="W144" s="16"/>
    </row>
    <row r="145">
      <c r="A145" s="84" t="s">
        <v>48</v>
      </c>
      <c r="B145" s="62" t="s">
        <v>46</v>
      </c>
      <c r="C145" s="31">
        <v>3.47</v>
      </c>
      <c r="D145" s="31">
        <v>28.8</v>
      </c>
      <c r="E145" s="31">
        <v>100.0</v>
      </c>
      <c r="F145" s="64">
        <v>45245.0</v>
      </c>
      <c r="G145" s="8">
        <f t="shared" si="2"/>
        <v>-100</v>
      </c>
      <c r="I145" s="34"/>
      <c r="N145" s="49"/>
      <c r="P145" s="32">
        <v>45184.0</v>
      </c>
      <c r="Q145" s="8">
        <v>-499.0</v>
      </c>
      <c r="S145" s="49"/>
      <c r="W145" s="16"/>
    </row>
    <row r="146">
      <c r="A146" s="84" t="s">
        <v>53</v>
      </c>
      <c r="B146" s="62" t="s">
        <v>46</v>
      </c>
      <c r="C146" s="31">
        <v>5.51</v>
      </c>
      <c r="D146" s="31">
        <v>90.8</v>
      </c>
      <c r="E146" s="31">
        <v>499.0</v>
      </c>
      <c r="F146" s="64">
        <v>45245.0</v>
      </c>
      <c r="G146" s="8">
        <f t="shared" si="2"/>
        <v>-499</v>
      </c>
      <c r="I146" s="34"/>
      <c r="N146" s="49"/>
      <c r="P146" s="32">
        <v>45184.0</v>
      </c>
      <c r="Q146" s="8">
        <v>-100.0</v>
      </c>
      <c r="S146" s="49"/>
      <c r="W146" s="16"/>
    </row>
    <row r="147">
      <c r="A147" s="84" t="s">
        <v>53</v>
      </c>
      <c r="B147" s="62" t="s">
        <v>46</v>
      </c>
      <c r="C147" s="31">
        <v>2.21</v>
      </c>
      <c r="D147" s="31">
        <v>90.49</v>
      </c>
      <c r="E147" s="31">
        <v>199.0</v>
      </c>
      <c r="F147" s="64">
        <v>45215.0</v>
      </c>
      <c r="G147" s="8">
        <f t="shared" si="2"/>
        <v>-199</v>
      </c>
      <c r="I147" s="34"/>
      <c r="N147" s="49"/>
      <c r="P147" s="32">
        <v>45184.0</v>
      </c>
      <c r="Q147" s="8">
        <v>-199.0</v>
      </c>
      <c r="S147" s="49"/>
      <c r="W147" s="16"/>
    </row>
    <row r="148">
      <c r="A148" s="84" t="s">
        <v>68</v>
      </c>
      <c r="B148" s="62" t="s">
        <v>46</v>
      </c>
      <c r="C148" s="31">
        <v>23.16</v>
      </c>
      <c r="D148" s="31">
        <v>21.59</v>
      </c>
      <c r="E148" s="31">
        <v>499.0</v>
      </c>
      <c r="F148" s="64">
        <v>45215.0</v>
      </c>
      <c r="G148" s="8">
        <f t="shared" si="2"/>
        <v>-499</v>
      </c>
      <c r="I148" s="34"/>
      <c r="N148" s="49"/>
      <c r="P148" s="32">
        <v>45184.0</v>
      </c>
      <c r="Q148" s="8">
        <v>-499.0</v>
      </c>
      <c r="S148" s="49"/>
      <c r="W148" s="16"/>
    </row>
    <row r="149">
      <c r="A149" s="84" t="s">
        <v>54</v>
      </c>
      <c r="B149" s="62" t="s">
        <v>46</v>
      </c>
      <c r="C149" s="31">
        <v>5.61</v>
      </c>
      <c r="D149" s="31">
        <v>89.15</v>
      </c>
      <c r="E149" s="31">
        <v>499.0</v>
      </c>
      <c r="F149" s="64">
        <v>45215.0</v>
      </c>
      <c r="G149" s="8">
        <f t="shared" si="2"/>
        <v>-499</v>
      </c>
      <c r="I149" s="34"/>
      <c r="N149" s="49"/>
      <c r="P149" s="32">
        <v>45154.0</v>
      </c>
      <c r="Q149" s="8">
        <v>-199.0</v>
      </c>
      <c r="S149" s="49"/>
      <c r="W149" s="16"/>
    </row>
    <row r="150">
      <c r="A150" s="84" t="s">
        <v>50</v>
      </c>
      <c r="B150" s="62" t="s">
        <v>46</v>
      </c>
      <c r="C150" s="31">
        <v>19.17</v>
      </c>
      <c r="D150" s="31">
        <v>26.08</v>
      </c>
      <c r="E150" s="31">
        <v>499.0</v>
      </c>
      <c r="F150" s="64">
        <v>45215.0</v>
      </c>
      <c r="G150" s="8">
        <f t="shared" si="2"/>
        <v>-499</v>
      </c>
      <c r="I150" s="34"/>
      <c r="N150" s="49"/>
      <c r="P150" s="32">
        <v>45154.0</v>
      </c>
      <c r="Q150" s="8">
        <v>-499.0</v>
      </c>
      <c r="S150" s="49"/>
      <c r="W150" s="16"/>
    </row>
    <row r="151">
      <c r="A151" s="84" t="s">
        <v>65</v>
      </c>
      <c r="B151" s="62" t="s">
        <v>46</v>
      </c>
      <c r="C151" s="31">
        <v>4.84</v>
      </c>
      <c r="D151" s="31">
        <v>41.3</v>
      </c>
      <c r="E151" s="31">
        <v>199.0</v>
      </c>
      <c r="F151" s="64">
        <v>45215.0</v>
      </c>
      <c r="G151" s="8">
        <f t="shared" si="2"/>
        <v>-199</v>
      </c>
      <c r="I151" s="34"/>
      <c r="N151" s="49"/>
      <c r="P151" s="32">
        <v>45154.0</v>
      </c>
      <c r="Q151" s="8">
        <v>-100.0</v>
      </c>
      <c r="S151" s="49"/>
      <c r="W151" s="16"/>
    </row>
    <row r="152">
      <c r="A152" s="84" t="s">
        <v>48</v>
      </c>
      <c r="B152" s="62" t="s">
        <v>46</v>
      </c>
      <c r="C152" s="31">
        <v>3.5</v>
      </c>
      <c r="D152" s="31">
        <v>28.58</v>
      </c>
      <c r="E152" s="31">
        <v>100.0</v>
      </c>
      <c r="F152" s="64">
        <v>45215.0</v>
      </c>
      <c r="G152" s="8">
        <f t="shared" si="2"/>
        <v>-100</v>
      </c>
      <c r="I152" s="34"/>
      <c r="N152" s="49"/>
      <c r="P152" s="32">
        <v>45154.0</v>
      </c>
      <c r="Q152" s="8">
        <v>-499.0</v>
      </c>
      <c r="S152" s="49"/>
      <c r="W152" s="16"/>
    </row>
    <row r="153">
      <c r="A153" s="84" t="s">
        <v>54</v>
      </c>
      <c r="B153" s="62" t="s">
        <v>46</v>
      </c>
      <c r="C153" s="31">
        <v>5.62</v>
      </c>
      <c r="D153" s="31">
        <v>89.01</v>
      </c>
      <c r="E153" s="31">
        <v>499.0</v>
      </c>
      <c r="F153" s="64">
        <v>45184.0</v>
      </c>
      <c r="G153" s="8">
        <f t="shared" si="2"/>
        <v>-499</v>
      </c>
      <c r="I153" s="34"/>
      <c r="N153" s="49"/>
      <c r="P153" s="32">
        <v>45154.0</v>
      </c>
      <c r="Q153" s="8">
        <v>-199.0</v>
      </c>
      <c r="S153" s="49"/>
      <c r="W153" s="16"/>
      <c r="Y153" s="16"/>
      <c r="Z153" s="16"/>
    </row>
    <row r="154">
      <c r="A154" s="84" t="s">
        <v>53</v>
      </c>
      <c r="B154" s="62" t="s">
        <v>46</v>
      </c>
      <c r="C154" s="31">
        <v>2.21</v>
      </c>
      <c r="D154" s="31">
        <v>90.41</v>
      </c>
      <c r="E154" s="31">
        <v>199.0</v>
      </c>
      <c r="F154" s="64">
        <v>45184.0</v>
      </c>
      <c r="G154" s="8">
        <f t="shared" si="2"/>
        <v>-199</v>
      </c>
      <c r="I154" s="34"/>
      <c r="N154" s="49"/>
      <c r="P154" s="32">
        <v>45154.0</v>
      </c>
      <c r="Q154" s="8">
        <v>-499.0</v>
      </c>
      <c r="S154" s="49"/>
      <c r="W154" s="16"/>
      <c r="Y154" s="16"/>
      <c r="Z154" s="16"/>
    </row>
    <row r="155">
      <c r="A155" s="84" t="s">
        <v>68</v>
      </c>
      <c r="B155" s="62" t="s">
        <v>46</v>
      </c>
      <c r="C155" s="31">
        <v>22.67</v>
      </c>
      <c r="D155" s="31">
        <v>22.05</v>
      </c>
      <c r="E155" s="31">
        <v>499.0</v>
      </c>
      <c r="F155" s="64">
        <v>45184.0</v>
      </c>
      <c r="G155" s="8">
        <f t="shared" si="2"/>
        <v>-499</v>
      </c>
      <c r="I155" s="34"/>
      <c r="N155" s="49"/>
      <c r="P155" s="32">
        <v>45124.0</v>
      </c>
      <c r="Q155" s="8">
        <v>-100.0</v>
      </c>
      <c r="S155" s="49"/>
      <c r="W155" s="16"/>
    </row>
    <row r="156">
      <c r="A156" s="84" t="s">
        <v>48</v>
      </c>
      <c r="B156" s="62" t="s">
        <v>46</v>
      </c>
      <c r="C156" s="31">
        <v>3.51</v>
      </c>
      <c r="D156" s="31">
        <v>28.52</v>
      </c>
      <c r="E156" s="31">
        <v>100.0</v>
      </c>
      <c r="F156" s="64">
        <v>45184.0</v>
      </c>
      <c r="G156" s="8">
        <f t="shared" si="2"/>
        <v>-100</v>
      </c>
      <c r="I156" s="34"/>
      <c r="N156" s="49"/>
      <c r="P156" s="32">
        <v>45124.0</v>
      </c>
      <c r="Q156" s="8">
        <v>-199.0</v>
      </c>
      <c r="S156" s="49"/>
      <c r="W156" s="16"/>
    </row>
    <row r="157">
      <c r="A157" s="84" t="s">
        <v>65</v>
      </c>
      <c r="B157" s="62" t="s">
        <v>46</v>
      </c>
      <c r="C157" s="31">
        <v>4.69</v>
      </c>
      <c r="D157" s="31">
        <v>42.67</v>
      </c>
      <c r="E157" s="31">
        <v>199.0</v>
      </c>
      <c r="F157" s="64">
        <v>45184.0</v>
      </c>
      <c r="G157" s="8">
        <f t="shared" si="2"/>
        <v>-199</v>
      </c>
      <c r="I157" s="34"/>
      <c r="N157" s="49"/>
      <c r="P157" s="32">
        <v>45124.0</v>
      </c>
      <c r="Q157" s="8">
        <v>-499.0</v>
      </c>
      <c r="S157" s="49"/>
      <c r="W157" s="16"/>
    </row>
    <row r="158">
      <c r="A158" s="84" t="s">
        <v>50</v>
      </c>
      <c r="B158" s="62" t="s">
        <v>46</v>
      </c>
      <c r="C158" s="31">
        <v>18.78</v>
      </c>
      <c r="D158" s="31">
        <v>26.62</v>
      </c>
      <c r="E158" s="31">
        <v>499.0</v>
      </c>
      <c r="F158" s="64">
        <v>45184.0</v>
      </c>
      <c r="G158" s="8">
        <f t="shared" si="2"/>
        <v>-499</v>
      </c>
      <c r="I158" s="34"/>
      <c r="N158" s="49"/>
      <c r="P158" s="32">
        <v>45124.0</v>
      </c>
      <c r="Q158" s="8">
        <v>-199.0</v>
      </c>
      <c r="S158" s="49"/>
      <c r="W158" s="16"/>
    </row>
    <row r="159">
      <c r="A159" s="84" t="s">
        <v>53</v>
      </c>
      <c r="B159" s="62" t="s">
        <v>46</v>
      </c>
      <c r="C159" s="31">
        <v>2.31</v>
      </c>
      <c r="D159" s="31">
        <v>86.54</v>
      </c>
      <c r="E159" s="31">
        <v>199.0</v>
      </c>
      <c r="F159" s="64">
        <v>45154.0</v>
      </c>
      <c r="G159" s="8">
        <f t="shared" si="2"/>
        <v>-199</v>
      </c>
      <c r="I159" s="34"/>
      <c r="N159" s="49"/>
      <c r="P159" s="32">
        <v>45124.0</v>
      </c>
      <c r="Q159" s="8">
        <v>-499.0</v>
      </c>
      <c r="S159" s="49"/>
      <c r="W159" s="16"/>
    </row>
    <row r="160">
      <c r="A160" s="84" t="s">
        <v>54</v>
      </c>
      <c r="B160" s="62" t="s">
        <v>46</v>
      </c>
      <c r="C160" s="31">
        <v>5.96</v>
      </c>
      <c r="D160" s="31">
        <v>83.95</v>
      </c>
      <c r="E160" s="31">
        <v>499.0</v>
      </c>
      <c r="F160" s="64">
        <v>45154.0</v>
      </c>
      <c r="G160" s="8">
        <f t="shared" si="2"/>
        <v>-499</v>
      </c>
      <c r="I160" s="34"/>
      <c r="N160" s="49"/>
      <c r="P160" s="32">
        <v>45124.0</v>
      </c>
      <c r="Q160" s="8">
        <v>-499.0</v>
      </c>
      <c r="S160" s="49"/>
      <c r="W160" s="16"/>
    </row>
    <row r="161">
      <c r="A161" s="84" t="s">
        <v>48</v>
      </c>
      <c r="B161" s="62" t="s">
        <v>46</v>
      </c>
      <c r="C161" s="31">
        <v>3.53</v>
      </c>
      <c r="D161" s="31">
        <v>28.31</v>
      </c>
      <c r="E161" s="31">
        <v>100.0</v>
      </c>
      <c r="F161" s="64">
        <v>45154.0</v>
      </c>
      <c r="G161" s="8">
        <f t="shared" si="2"/>
        <v>-100</v>
      </c>
      <c r="I161" s="34"/>
      <c r="N161" s="49"/>
      <c r="P161" s="32">
        <v>45092.0</v>
      </c>
      <c r="Q161" s="8">
        <v>-499.0</v>
      </c>
      <c r="S161" s="49"/>
      <c r="W161" s="16"/>
    </row>
    <row r="162">
      <c r="A162" s="84" t="s">
        <v>50</v>
      </c>
      <c r="B162" s="62" t="s">
        <v>46</v>
      </c>
      <c r="C162" s="31">
        <v>19.46</v>
      </c>
      <c r="D162" s="31">
        <v>25.69</v>
      </c>
      <c r="E162" s="31">
        <v>499.0</v>
      </c>
      <c r="F162" s="64">
        <v>45154.0</v>
      </c>
      <c r="G162" s="8">
        <f t="shared" si="2"/>
        <v>-499</v>
      </c>
      <c r="I162" s="34"/>
      <c r="N162" s="49"/>
      <c r="P162" s="32">
        <v>45092.0</v>
      </c>
      <c r="Q162" s="8">
        <v>-199.0</v>
      </c>
      <c r="S162" s="49"/>
      <c r="W162" s="16"/>
    </row>
    <row r="163">
      <c r="A163" s="84" t="s">
        <v>65</v>
      </c>
      <c r="B163" s="62" t="s">
        <v>46</v>
      </c>
      <c r="C163" s="31">
        <v>5.03</v>
      </c>
      <c r="D163" s="31">
        <v>39.76</v>
      </c>
      <c r="E163" s="31">
        <v>199.0</v>
      </c>
      <c r="F163" s="64">
        <v>45154.0</v>
      </c>
      <c r="G163" s="8">
        <f t="shared" si="2"/>
        <v>-199</v>
      </c>
      <c r="I163" s="34"/>
      <c r="N163" s="49"/>
      <c r="P163" s="32">
        <v>45092.0</v>
      </c>
      <c r="Q163" s="8">
        <v>-499.0</v>
      </c>
      <c r="S163" s="49"/>
      <c r="W163" s="16"/>
    </row>
    <row r="164">
      <c r="A164" s="84" t="s">
        <v>68</v>
      </c>
      <c r="B164" s="62" t="s">
        <v>46</v>
      </c>
      <c r="C164" s="31">
        <v>23.61</v>
      </c>
      <c r="D164" s="31">
        <v>21.17</v>
      </c>
      <c r="E164" s="31">
        <v>499.0</v>
      </c>
      <c r="F164" s="64">
        <v>45154.0</v>
      </c>
      <c r="G164" s="8">
        <f t="shared" si="2"/>
        <v>-499</v>
      </c>
      <c r="I164" s="34"/>
      <c r="N164" s="49"/>
      <c r="P164" s="32">
        <v>45092.0</v>
      </c>
      <c r="Q164" s="8">
        <v>-199.0</v>
      </c>
      <c r="S164" s="49"/>
      <c r="W164" s="16"/>
    </row>
    <row r="165">
      <c r="A165" s="84" t="s">
        <v>48</v>
      </c>
      <c r="B165" s="62" t="s">
        <v>46</v>
      </c>
      <c r="C165" s="31">
        <v>3.55</v>
      </c>
      <c r="D165" s="31">
        <v>28.2</v>
      </c>
      <c r="E165" s="31">
        <v>100.0</v>
      </c>
      <c r="F165" s="64">
        <v>45124.0</v>
      </c>
      <c r="G165" s="8">
        <f t="shared" si="2"/>
        <v>-100</v>
      </c>
      <c r="I165" s="34"/>
      <c r="N165" s="49"/>
      <c r="P165" s="32">
        <v>45092.0</v>
      </c>
      <c r="Q165" s="8">
        <v>-499.0</v>
      </c>
      <c r="S165" s="49"/>
      <c r="W165" s="16"/>
    </row>
    <row r="166">
      <c r="A166" s="84" t="s">
        <v>53</v>
      </c>
      <c r="B166" s="62" t="s">
        <v>46</v>
      </c>
      <c r="C166" s="31">
        <v>2.34</v>
      </c>
      <c r="D166" s="31">
        <v>85.63</v>
      </c>
      <c r="E166" s="31">
        <v>199.0</v>
      </c>
      <c r="F166" s="64">
        <v>45124.0</v>
      </c>
      <c r="G166" s="8">
        <f t="shared" si="2"/>
        <v>-199</v>
      </c>
      <c r="I166" s="34"/>
      <c r="N166" s="49"/>
      <c r="P166" s="32">
        <v>45092.0</v>
      </c>
      <c r="Q166" s="8">
        <v>-100.0</v>
      </c>
      <c r="S166" s="49"/>
      <c r="W166" s="16"/>
    </row>
    <row r="167">
      <c r="A167" s="84" t="s">
        <v>54</v>
      </c>
      <c r="B167" s="62" t="s">
        <v>46</v>
      </c>
      <c r="C167" s="31">
        <v>5.99</v>
      </c>
      <c r="D167" s="31">
        <v>83.5</v>
      </c>
      <c r="E167" s="31">
        <v>499.0</v>
      </c>
      <c r="F167" s="64">
        <v>45124.0</v>
      </c>
      <c r="G167" s="8">
        <f t="shared" si="2"/>
        <v>-499</v>
      </c>
      <c r="I167" s="34"/>
      <c r="N167" s="49"/>
      <c r="P167" s="32">
        <v>45061.0</v>
      </c>
      <c r="Q167" s="8">
        <v>-100.0</v>
      </c>
      <c r="S167" s="49"/>
      <c r="W167" s="16"/>
    </row>
    <row r="168">
      <c r="A168" s="84" t="s">
        <v>65</v>
      </c>
      <c r="B168" s="62" t="s">
        <v>46</v>
      </c>
      <c r="C168" s="31">
        <v>5.04</v>
      </c>
      <c r="D168" s="31">
        <v>39.69</v>
      </c>
      <c r="E168" s="31">
        <v>199.0</v>
      </c>
      <c r="F168" s="64">
        <v>45124.0</v>
      </c>
      <c r="G168" s="8">
        <f t="shared" si="2"/>
        <v>-199</v>
      </c>
      <c r="I168" s="34"/>
      <c r="N168" s="49"/>
      <c r="P168" s="32">
        <v>45061.0</v>
      </c>
      <c r="Q168" s="8">
        <v>-499.0</v>
      </c>
      <c r="S168" s="49"/>
      <c r="W168" s="16"/>
    </row>
    <row r="169">
      <c r="A169" s="84" t="s">
        <v>68</v>
      </c>
      <c r="B169" s="62" t="s">
        <v>46</v>
      </c>
      <c r="C169" s="31">
        <v>23.16</v>
      </c>
      <c r="D169" s="31">
        <v>21.59</v>
      </c>
      <c r="E169" s="31">
        <v>499.0</v>
      </c>
      <c r="F169" s="64">
        <v>45124.0</v>
      </c>
      <c r="G169" s="8">
        <f t="shared" si="2"/>
        <v>-499</v>
      </c>
      <c r="I169" s="34"/>
      <c r="N169" s="49"/>
      <c r="P169" s="32">
        <v>45061.0</v>
      </c>
      <c r="Q169" s="8">
        <v>-499.0</v>
      </c>
      <c r="S169" s="49"/>
      <c r="W169" s="16"/>
    </row>
    <row r="170">
      <c r="A170" s="84" t="s">
        <v>50</v>
      </c>
      <c r="B170" s="62" t="s">
        <v>46</v>
      </c>
      <c r="C170" s="31">
        <v>18.86</v>
      </c>
      <c r="D170" s="31">
        <v>26.51</v>
      </c>
      <c r="E170" s="31">
        <v>499.0</v>
      </c>
      <c r="F170" s="64">
        <v>45124.0</v>
      </c>
      <c r="G170" s="8">
        <f t="shared" si="2"/>
        <v>-499</v>
      </c>
      <c r="I170" s="34"/>
      <c r="N170" s="49"/>
      <c r="P170" s="32">
        <v>45061.0</v>
      </c>
      <c r="Q170" s="8">
        <v>-199.0</v>
      </c>
      <c r="S170" s="49"/>
      <c r="W170" s="16"/>
      <c r="X170" s="16"/>
    </row>
    <row r="171">
      <c r="A171" s="84" t="s">
        <v>54</v>
      </c>
      <c r="B171" s="62" t="s">
        <v>46</v>
      </c>
      <c r="C171" s="31">
        <v>6.18</v>
      </c>
      <c r="D171" s="31">
        <v>80.92</v>
      </c>
      <c r="E171" s="31">
        <v>499.0</v>
      </c>
      <c r="F171" s="64">
        <v>45092.0</v>
      </c>
      <c r="G171" s="8">
        <f t="shared" si="2"/>
        <v>-499</v>
      </c>
      <c r="I171" s="34"/>
      <c r="N171" s="49"/>
      <c r="P171" s="32">
        <v>45061.0</v>
      </c>
      <c r="Q171" s="8">
        <v>-499.0</v>
      </c>
      <c r="S171" s="49"/>
      <c r="W171" s="16"/>
    </row>
    <row r="172">
      <c r="A172" s="84" t="s">
        <v>53</v>
      </c>
      <c r="B172" s="62" t="s">
        <v>46</v>
      </c>
      <c r="C172" s="31">
        <v>2.39</v>
      </c>
      <c r="D172" s="31">
        <v>83.63</v>
      </c>
      <c r="E172" s="31">
        <v>199.0</v>
      </c>
      <c r="F172" s="64">
        <v>45092.0</v>
      </c>
      <c r="G172" s="8">
        <f t="shared" si="2"/>
        <v>-199</v>
      </c>
      <c r="I172" s="34"/>
      <c r="N172" s="49"/>
      <c r="P172" s="32">
        <v>45061.0</v>
      </c>
      <c r="Q172" s="8">
        <v>-199.0</v>
      </c>
      <c r="S172" s="49"/>
      <c r="W172" s="16"/>
    </row>
    <row r="173">
      <c r="A173" s="84" t="s">
        <v>50</v>
      </c>
      <c r="B173" s="62" t="s">
        <v>46</v>
      </c>
      <c r="C173" s="31">
        <v>19.37</v>
      </c>
      <c r="D173" s="31">
        <v>25.81</v>
      </c>
      <c r="E173" s="31">
        <v>499.0</v>
      </c>
      <c r="F173" s="64">
        <v>45092.0</v>
      </c>
      <c r="G173" s="8">
        <f t="shared" si="2"/>
        <v>-499</v>
      </c>
      <c r="I173" s="34"/>
      <c r="N173" s="49"/>
      <c r="P173" s="32">
        <v>45033.0</v>
      </c>
      <c r="Q173" s="8">
        <v>-199.0</v>
      </c>
      <c r="S173" s="49"/>
      <c r="W173" s="16"/>
    </row>
    <row r="174">
      <c r="A174" s="84" t="s">
        <v>65</v>
      </c>
      <c r="B174" s="62" t="s">
        <v>46</v>
      </c>
      <c r="C174" s="31">
        <v>5.39</v>
      </c>
      <c r="D174" s="31">
        <v>37.08</v>
      </c>
      <c r="E174" s="31">
        <v>199.0</v>
      </c>
      <c r="F174" s="64">
        <v>45092.0</v>
      </c>
      <c r="G174" s="8">
        <f t="shared" si="2"/>
        <v>-199</v>
      </c>
      <c r="I174" s="34"/>
      <c r="N174" s="49"/>
      <c r="P174" s="32">
        <v>45033.0</v>
      </c>
      <c r="Q174" s="8">
        <v>-499.0</v>
      </c>
      <c r="S174" s="49"/>
      <c r="W174" s="16"/>
    </row>
    <row r="175">
      <c r="A175" s="84" t="s">
        <v>68</v>
      </c>
      <c r="B175" s="62" t="s">
        <v>46</v>
      </c>
      <c r="C175" s="31">
        <v>24.36</v>
      </c>
      <c r="D175" s="31">
        <v>20.53</v>
      </c>
      <c r="E175" s="31">
        <v>499.0</v>
      </c>
      <c r="F175" s="64">
        <v>45092.0</v>
      </c>
      <c r="G175" s="8">
        <f t="shared" si="2"/>
        <v>-499</v>
      </c>
      <c r="I175" s="34"/>
      <c r="N175" s="49"/>
      <c r="P175" s="32">
        <v>45033.0</v>
      </c>
      <c r="Q175" s="8">
        <v>-499.0</v>
      </c>
      <c r="S175" s="49"/>
      <c r="W175" s="16"/>
    </row>
    <row r="176">
      <c r="A176" s="84" t="s">
        <v>48</v>
      </c>
      <c r="B176" s="62" t="s">
        <v>46</v>
      </c>
      <c r="C176" s="31">
        <v>3.57</v>
      </c>
      <c r="D176" s="31">
        <v>28.04</v>
      </c>
      <c r="E176" s="31">
        <v>100.0</v>
      </c>
      <c r="F176" s="64">
        <v>45092.0</v>
      </c>
      <c r="G176" s="8">
        <f t="shared" si="2"/>
        <v>-100</v>
      </c>
      <c r="I176" s="34"/>
      <c r="N176" s="49"/>
      <c r="P176" s="32">
        <v>45033.0</v>
      </c>
      <c r="Q176" s="8">
        <v>-100.0</v>
      </c>
      <c r="S176" s="49"/>
      <c r="W176" s="16"/>
    </row>
    <row r="177">
      <c r="A177" s="84" t="s">
        <v>48</v>
      </c>
      <c r="B177" s="62" t="s">
        <v>46</v>
      </c>
      <c r="C177" s="31">
        <v>3.59</v>
      </c>
      <c r="D177" s="31">
        <v>27.87</v>
      </c>
      <c r="E177" s="31">
        <v>100.0</v>
      </c>
      <c r="F177" s="91">
        <v>45061.0</v>
      </c>
      <c r="G177" s="8">
        <f t="shared" si="2"/>
        <v>-100</v>
      </c>
      <c r="I177" s="92"/>
      <c r="N177" s="49"/>
      <c r="P177" s="32">
        <v>45033.0</v>
      </c>
      <c r="Q177" s="8">
        <v>-499.0</v>
      </c>
      <c r="S177" s="49"/>
      <c r="W177" s="16"/>
    </row>
    <row r="178">
      <c r="A178" s="84" t="s">
        <v>68</v>
      </c>
      <c r="B178" s="62" t="s">
        <v>46</v>
      </c>
      <c r="C178" s="31">
        <v>24.88</v>
      </c>
      <c r="D178" s="31">
        <v>20.09</v>
      </c>
      <c r="E178" s="31">
        <v>499.0</v>
      </c>
      <c r="F178" s="91">
        <v>45061.0</v>
      </c>
      <c r="G178" s="8">
        <f t="shared" si="2"/>
        <v>-499</v>
      </c>
      <c r="I178" s="92"/>
      <c r="N178" s="49"/>
      <c r="P178" s="32">
        <v>45033.0</v>
      </c>
      <c r="Q178" s="8">
        <v>-199.0</v>
      </c>
      <c r="S178" s="49"/>
      <c r="W178" s="16"/>
    </row>
    <row r="179">
      <c r="A179" s="84" t="s">
        <v>54</v>
      </c>
      <c r="B179" s="62" t="s">
        <v>46</v>
      </c>
      <c r="C179" s="31">
        <v>6.69</v>
      </c>
      <c r="D179" s="31">
        <v>74.78</v>
      </c>
      <c r="E179" s="31">
        <v>499.0</v>
      </c>
      <c r="F179" s="91">
        <v>45061.0</v>
      </c>
      <c r="G179" s="8">
        <f t="shared" si="2"/>
        <v>-499</v>
      </c>
      <c r="I179" s="92"/>
      <c r="N179" s="49"/>
      <c r="P179" s="32">
        <v>45000.0</v>
      </c>
      <c r="Q179" s="8">
        <v>-199.0</v>
      </c>
      <c r="S179" s="49"/>
      <c r="W179" s="16"/>
    </row>
    <row r="180">
      <c r="A180" s="84" t="s">
        <v>65</v>
      </c>
      <c r="B180" s="62" t="s">
        <v>46</v>
      </c>
      <c r="C180" s="31">
        <v>5.63</v>
      </c>
      <c r="D180" s="31">
        <v>35.52</v>
      </c>
      <c r="E180" s="31">
        <v>199.0</v>
      </c>
      <c r="F180" s="91">
        <v>45061.0</v>
      </c>
      <c r="G180" s="8">
        <f t="shared" si="2"/>
        <v>-199</v>
      </c>
      <c r="I180" s="92"/>
      <c r="N180" s="49"/>
      <c r="P180" s="32">
        <v>45000.0</v>
      </c>
      <c r="Q180" s="8">
        <v>-499.0</v>
      </c>
      <c r="S180" s="49"/>
      <c r="W180" s="16"/>
    </row>
    <row r="181">
      <c r="A181" s="84" t="s">
        <v>50</v>
      </c>
      <c r="B181" s="62" t="s">
        <v>46</v>
      </c>
      <c r="C181" s="31">
        <v>21.96</v>
      </c>
      <c r="D181" s="31">
        <v>22.77</v>
      </c>
      <c r="E181" s="31">
        <v>499.0</v>
      </c>
      <c r="F181" s="91">
        <v>45061.0</v>
      </c>
      <c r="G181" s="8">
        <f t="shared" si="2"/>
        <v>-499</v>
      </c>
      <c r="I181" s="92"/>
      <c r="N181" s="49"/>
      <c r="P181" s="32">
        <v>45000.0</v>
      </c>
      <c r="Q181" s="8">
        <v>-100.0</v>
      </c>
      <c r="S181" s="49"/>
      <c r="W181" s="16"/>
    </row>
    <row r="182">
      <c r="A182" s="84" t="s">
        <v>53</v>
      </c>
      <c r="B182" s="62" t="s">
        <v>46</v>
      </c>
      <c r="C182" s="31">
        <v>2.55</v>
      </c>
      <c r="D182" s="31">
        <v>78.55</v>
      </c>
      <c r="E182" s="31">
        <v>199.0</v>
      </c>
      <c r="F182" s="91">
        <v>45061.0</v>
      </c>
      <c r="G182" s="8">
        <f t="shared" si="2"/>
        <v>-199</v>
      </c>
      <c r="I182" s="92"/>
      <c r="N182" s="49"/>
      <c r="P182" s="32">
        <v>45000.0</v>
      </c>
      <c r="Q182" s="8">
        <v>-499.0</v>
      </c>
      <c r="S182" s="49"/>
      <c r="W182" s="16"/>
    </row>
    <row r="183">
      <c r="A183" s="84" t="s">
        <v>53</v>
      </c>
      <c r="B183" s="62" t="s">
        <v>46</v>
      </c>
      <c r="C183" s="31">
        <v>2.67</v>
      </c>
      <c r="D183" s="31">
        <v>74.81</v>
      </c>
      <c r="E183" s="31">
        <v>199.0</v>
      </c>
      <c r="F183" s="64">
        <v>45033.0</v>
      </c>
      <c r="G183" s="8">
        <f t="shared" si="2"/>
        <v>-199</v>
      </c>
      <c r="I183" s="34"/>
      <c r="N183" s="49"/>
      <c r="P183" s="32">
        <v>45000.0</v>
      </c>
      <c r="Q183" s="8">
        <v>-499.0</v>
      </c>
      <c r="S183" s="49"/>
      <c r="W183" s="16"/>
    </row>
    <row r="184">
      <c r="A184" s="84" t="s">
        <v>68</v>
      </c>
      <c r="B184" s="62" t="s">
        <v>46</v>
      </c>
      <c r="C184" s="31">
        <v>25.9</v>
      </c>
      <c r="D184" s="31">
        <v>19.31</v>
      </c>
      <c r="E184" s="31">
        <v>499.0</v>
      </c>
      <c r="F184" s="64">
        <v>45033.0</v>
      </c>
      <c r="G184" s="8">
        <f t="shared" si="2"/>
        <v>-499</v>
      </c>
      <c r="I184" s="34"/>
      <c r="N184" s="49"/>
      <c r="P184" s="32">
        <v>44977.0</v>
      </c>
      <c r="Q184" s="8">
        <v>-199.0</v>
      </c>
      <c r="S184" s="49"/>
      <c r="W184" s="16"/>
    </row>
    <row r="185">
      <c r="A185" s="84" t="s">
        <v>54</v>
      </c>
      <c r="B185" s="62" t="s">
        <v>46</v>
      </c>
      <c r="C185" s="31">
        <v>7.01</v>
      </c>
      <c r="D185" s="31">
        <v>71.31</v>
      </c>
      <c r="E185" s="31">
        <v>499.0</v>
      </c>
      <c r="F185" s="64">
        <v>45033.0</v>
      </c>
      <c r="G185" s="8">
        <f t="shared" si="2"/>
        <v>-499</v>
      </c>
      <c r="I185" s="34"/>
      <c r="N185" s="49"/>
      <c r="P185" s="32">
        <v>44972.0</v>
      </c>
      <c r="Q185" s="8">
        <v>-499.0</v>
      </c>
      <c r="S185" s="49"/>
      <c r="W185" s="16"/>
    </row>
    <row r="186">
      <c r="A186" s="84" t="s">
        <v>48</v>
      </c>
      <c r="B186" s="62" t="s">
        <v>46</v>
      </c>
      <c r="C186" s="31">
        <v>3.62</v>
      </c>
      <c r="D186" s="31">
        <v>27.65</v>
      </c>
      <c r="E186" s="31">
        <v>100.0</v>
      </c>
      <c r="F186" s="64">
        <v>45033.0</v>
      </c>
      <c r="G186" s="8">
        <f t="shared" si="2"/>
        <v>-100</v>
      </c>
      <c r="I186" s="34"/>
      <c r="N186" s="49"/>
      <c r="P186" s="32">
        <v>44972.0</v>
      </c>
      <c r="Q186" s="8">
        <v>-499.0</v>
      </c>
      <c r="S186" s="49"/>
      <c r="W186" s="16"/>
    </row>
    <row r="187">
      <c r="A187" s="84" t="s">
        <v>50</v>
      </c>
      <c r="B187" s="62" t="s">
        <v>46</v>
      </c>
      <c r="C187" s="31">
        <v>22.53</v>
      </c>
      <c r="D187" s="31">
        <v>22.2</v>
      </c>
      <c r="E187" s="31">
        <v>499.0</v>
      </c>
      <c r="F187" s="64">
        <v>45033.0</v>
      </c>
      <c r="G187" s="8">
        <f t="shared" si="2"/>
        <v>-499</v>
      </c>
      <c r="I187" s="34"/>
      <c r="N187" s="49"/>
      <c r="P187" s="32">
        <v>44972.0</v>
      </c>
      <c r="Q187" s="8">
        <v>-199.0</v>
      </c>
      <c r="S187" s="49"/>
      <c r="W187" s="16"/>
    </row>
    <row r="188">
      <c r="A188" s="84" t="s">
        <v>65</v>
      </c>
      <c r="B188" s="62" t="s">
        <v>46</v>
      </c>
      <c r="C188" s="31">
        <v>5.91</v>
      </c>
      <c r="D188" s="31">
        <v>33.84</v>
      </c>
      <c r="E188" s="31">
        <v>199.0</v>
      </c>
      <c r="F188" s="64">
        <v>45033.0</v>
      </c>
      <c r="G188" s="8">
        <f t="shared" si="2"/>
        <v>-199</v>
      </c>
      <c r="I188" s="34"/>
      <c r="N188" s="49"/>
      <c r="P188" s="32">
        <v>44972.0</v>
      </c>
      <c r="Q188" s="8">
        <v>-499.0</v>
      </c>
      <c r="S188" s="49"/>
      <c r="W188" s="16"/>
    </row>
    <row r="189">
      <c r="A189" s="84" t="s">
        <v>65</v>
      </c>
      <c r="B189" s="62" t="s">
        <v>46</v>
      </c>
      <c r="C189" s="31">
        <v>5.69</v>
      </c>
      <c r="D189" s="31">
        <v>35.15</v>
      </c>
      <c r="E189" s="31">
        <v>199.0</v>
      </c>
      <c r="F189" s="64">
        <v>45000.0</v>
      </c>
      <c r="G189" s="8">
        <f t="shared" si="2"/>
        <v>-199</v>
      </c>
      <c r="I189" s="34"/>
      <c r="N189" s="49"/>
      <c r="P189" s="32">
        <v>44960.0</v>
      </c>
      <c r="Q189" s="8">
        <v>-999.0</v>
      </c>
      <c r="S189" s="49"/>
      <c r="W189" s="16"/>
    </row>
    <row r="190">
      <c r="A190" s="84" t="s">
        <v>68</v>
      </c>
      <c r="B190" s="62" t="s">
        <v>46</v>
      </c>
      <c r="C190" s="31">
        <v>26.94</v>
      </c>
      <c r="D190" s="31">
        <v>18.56</v>
      </c>
      <c r="E190" s="31">
        <v>499.0</v>
      </c>
      <c r="F190" s="64">
        <v>45000.0</v>
      </c>
      <c r="G190" s="8">
        <f t="shared" si="2"/>
        <v>-499</v>
      </c>
      <c r="I190" s="34"/>
      <c r="N190" s="49"/>
      <c r="P190" s="32">
        <v>44960.0</v>
      </c>
      <c r="Q190" s="8">
        <v>-100.0</v>
      </c>
      <c r="S190" s="49"/>
      <c r="W190" s="16"/>
    </row>
    <row r="191">
      <c r="A191" s="84" t="s">
        <v>48</v>
      </c>
      <c r="B191" s="62" t="s">
        <v>46</v>
      </c>
      <c r="C191" s="31">
        <v>3.65</v>
      </c>
      <c r="D191" s="31">
        <v>27.36</v>
      </c>
      <c r="E191" s="31">
        <v>100.0</v>
      </c>
      <c r="F191" s="64">
        <v>45000.0</v>
      </c>
      <c r="G191" s="8">
        <f t="shared" si="2"/>
        <v>-100</v>
      </c>
      <c r="I191" s="34"/>
      <c r="N191" s="49"/>
      <c r="P191" s="32">
        <v>44942.0</v>
      </c>
      <c r="Q191" s="8">
        <v>-499.0</v>
      </c>
      <c r="S191" s="49"/>
      <c r="W191" s="16"/>
    </row>
    <row r="192">
      <c r="A192" s="84" t="s">
        <v>50</v>
      </c>
      <c r="B192" s="62" t="s">
        <v>46</v>
      </c>
      <c r="C192" s="31">
        <v>23.76</v>
      </c>
      <c r="D192" s="31">
        <v>21.04</v>
      </c>
      <c r="E192" s="31">
        <v>499.0</v>
      </c>
      <c r="F192" s="64">
        <v>45000.0</v>
      </c>
      <c r="G192" s="8">
        <f t="shared" si="2"/>
        <v>-499</v>
      </c>
      <c r="I192" s="34"/>
      <c r="N192" s="49"/>
      <c r="P192" s="32">
        <v>44942.0</v>
      </c>
      <c r="Q192" s="8">
        <v>-499.0</v>
      </c>
      <c r="S192" s="49"/>
      <c r="W192" s="16"/>
    </row>
    <row r="193">
      <c r="A193" s="84" t="s">
        <v>54</v>
      </c>
      <c r="B193" s="62" t="s">
        <v>46</v>
      </c>
      <c r="C193" s="31">
        <v>7.25</v>
      </c>
      <c r="D193" s="31">
        <v>69.01</v>
      </c>
      <c r="E193" s="31">
        <v>499.0</v>
      </c>
      <c r="F193" s="64">
        <v>45000.0</v>
      </c>
      <c r="G193" s="8">
        <f t="shared" si="2"/>
        <v>-499</v>
      </c>
      <c r="I193" s="34"/>
      <c r="N193" s="49"/>
      <c r="P193" s="32">
        <v>44942.0</v>
      </c>
      <c r="Q193" s="8">
        <v>-499.0</v>
      </c>
      <c r="S193" s="49"/>
      <c r="W193" s="16"/>
    </row>
    <row r="194">
      <c r="A194" s="84" t="s">
        <v>53</v>
      </c>
      <c r="B194" s="62" t="s">
        <v>46</v>
      </c>
      <c r="C194" s="31">
        <v>2.65</v>
      </c>
      <c r="D194" s="31">
        <v>75.55</v>
      </c>
      <c r="E194" s="31">
        <v>199.0</v>
      </c>
      <c r="F194" s="64">
        <v>44977.0</v>
      </c>
      <c r="G194" s="8">
        <f t="shared" si="2"/>
        <v>-199</v>
      </c>
      <c r="I194" s="34"/>
      <c r="N194" s="49"/>
      <c r="P194" s="32">
        <v>44942.0</v>
      </c>
      <c r="Q194" s="8">
        <v>-199.0</v>
      </c>
      <c r="S194" s="49"/>
      <c r="W194" s="16"/>
    </row>
    <row r="195">
      <c r="A195" s="84" t="s">
        <v>54</v>
      </c>
      <c r="B195" s="62" t="s">
        <v>46</v>
      </c>
      <c r="C195" s="31">
        <v>7.04</v>
      </c>
      <c r="D195" s="31">
        <v>71.05</v>
      </c>
      <c r="E195" s="31">
        <v>499.0</v>
      </c>
      <c r="F195" s="64">
        <v>44972.0</v>
      </c>
      <c r="G195" s="8">
        <f t="shared" si="2"/>
        <v>-499</v>
      </c>
      <c r="I195" s="34"/>
      <c r="N195" s="49"/>
      <c r="P195" s="32">
        <v>44910.0</v>
      </c>
      <c r="Q195" s="8">
        <v>-499.0</v>
      </c>
      <c r="S195" s="49"/>
      <c r="W195" s="16"/>
    </row>
    <row r="196">
      <c r="A196" s="84" t="s">
        <v>50</v>
      </c>
      <c r="B196" s="62" t="s">
        <v>46</v>
      </c>
      <c r="C196" s="31">
        <v>23.23</v>
      </c>
      <c r="D196" s="31">
        <v>21.52</v>
      </c>
      <c r="E196" s="31">
        <v>499.0</v>
      </c>
      <c r="F196" s="64">
        <v>44972.0</v>
      </c>
      <c r="G196" s="8">
        <f t="shared" si="2"/>
        <v>-499</v>
      </c>
      <c r="I196" s="34"/>
      <c r="N196" s="49"/>
      <c r="P196" s="32">
        <v>44910.0</v>
      </c>
      <c r="Q196" s="8">
        <v>-199.0</v>
      </c>
      <c r="S196" s="49"/>
      <c r="W196" s="16"/>
    </row>
    <row r="197">
      <c r="A197" s="84" t="s">
        <v>65</v>
      </c>
      <c r="B197" s="62" t="s">
        <v>46</v>
      </c>
      <c r="C197" s="31">
        <v>5.33</v>
      </c>
      <c r="D197" s="31">
        <v>37.55</v>
      </c>
      <c r="E197" s="31">
        <v>199.0</v>
      </c>
      <c r="F197" s="64">
        <v>44972.0</v>
      </c>
      <c r="G197" s="8">
        <f t="shared" si="2"/>
        <v>-199</v>
      </c>
      <c r="I197" s="34"/>
      <c r="N197" s="49"/>
      <c r="P197" s="32">
        <v>44910.0</v>
      </c>
      <c r="Q197" s="8">
        <v>-499.0</v>
      </c>
      <c r="S197" s="49"/>
      <c r="W197" s="16"/>
    </row>
    <row r="198">
      <c r="A198" s="84" t="s">
        <v>68</v>
      </c>
      <c r="B198" s="62" t="s">
        <v>46</v>
      </c>
      <c r="C198" s="31">
        <v>25.28</v>
      </c>
      <c r="D198" s="31">
        <v>19.78</v>
      </c>
      <c r="E198" s="31">
        <v>499.0</v>
      </c>
      <c r="F198" s="64">
        <v>44972.0</v>
      </c>
      <c r="G198" s="8">
        <f t="shared" si="2"/>
        <v>-499</v>
      </c>
      <c r="I198" s="34"/>
      <c r="N198" s="49"/>
      <c r="P198" s="32">
        <v>44880.0</v>
      </c>
      <c r="Q198" s="8">
        <v>-499.0</v>
      </c>
      <c r="S198" s="49"/>
      <c r="W198" s="16"/>
    </row>
    <row r="199">
      <c r="A199" s="84" t="s">
        <v>54</v>
      </c>
      <c r="B199" s="62" t="s">
        <v>46</v>
      </c>
      <c r="C199" s="31">
        <v>14.04</v>
      </c>
      <c r="D199" s="31">
        <v>71.24</v>
      </c>
      <c r="E199" s="31">
        <v>999.0</v>
      </c>
      <c r="F199" s="94">
        <v>44960.0</v>
      </c>
      <c r="G199" s="8">
        <f t="shared" si="2"/>
        <v>-999</v>
      </c>
      <c r="I199" s="89"/>
      <c r="N199" s="49"/>
      <c r="P199" s="32">
        <v>44880.0</v>
      </c>
      <c r="Q199" s="8">
        <v>-499.0</v>
      </c>
      <c r="S199" s="49"/>
      <c r="W199" s="16"/>
    </row>
    <row r="200">
      <c r="A200" s="84" t="s">
        <v>48</v>
      </c>
      <c r="B200" s="62" t="s">
        <v>46</v>
      </c>
      <c r="C200" s="31">
        <v>3.68</v>
      </c>
      <c r="D200" s="31">
        <v>27.2</v>
      </c>
      <c r="E200" s="31">
        <v>100.0</v>
      </c>
      <c r="F200" s="94">
        <v>44960.0</v>
      </c>
      <c r="G200" s="8">
        <f t="shared" si="2"/>
        <v>-100</v>
      </c>
      <c r="I200" s="89"/>
      <c r="N200" s="49"/>
      <c r="P200" s="32">
        <v>44880.0</v>
      </c>
      <c r="Q200" s="8">
        <v>-199.0</v>
      </c>
      <c r="S200" s="49"/>
      <c r="W200" s="16"/>
    </row>
    <row r="201">
      <c r="A201" s="84" t="s">
        <v>54</v>
      </c>
      <c r="B201" s="62" t="s">
        <v>46</v>
      </c>
      <c r="C201" s="31">
        <v>6.99</v>
      </c>
      <c r="D201" s="31">
        <v>71.52</v>
      </c>
      <c r="E201" s="31">
        <v>499.0</v>
      </c>
      <c r="F201" s="64">
        <v>44942.0</v>
      </c>
      <c r="G201" s="8">
        <f t="shared" si="2"/>
        <v>-499</v>
      </c>
      <c r="I201" s="34"/>
      <c r="N201" s="49"/>
      <c r="P201" s="32">
        <v>44851.0</v>
      </c>
      <c r="Q201" s="8">
        <v>-499.0</v>
      </c>
      <c r="S201" s="49"/>
      <c r="W201" s="16"/>
    </row>
    <row r="202">
      <c r="A202" s="84" t="s">
        <v>68</v>
      </c>
      <c r="B202" s="62" t="s">
        <v>46</v>
      </c>
      <c r="C202" s="31">
        <v>25.83</v>
      </c>
      <c r="D202" s="31">
        <v>19.36</v>
      </c>
      <c r="E202" s="31">
        <v>499.0</v>
      </c>
      <c r="F202" s="64">
        <v>44942.0</v>
      </c>
      <c r="G202" s="8">
        <f t="shared" si="2"/>
        <v>-499</v>
      </c>
      <c r="I202" s="34"/>
      <c r="N202" s="49"/>
      <c r="P202" s="32">
        <v>44851.0</v>
      </c>
      <c r="Q202" s="8">
        <v>-199.0</v>
      </c>
      <c r="S202" s="49"/>
      <c r="W202" s="16"/>
    </row>
    <row r="203">
      <c r="A203" s="84" t="s">
        <v>50</v>
      </c>
      <c r="B203" s="62" t="s">
        <v>46</v>
      </c>
      <c r="C203" s="31">
        <v>25.24</v>
      </c>
      <c r="D203" s="31">
        <v>19.81</v>
      </c>
      <c r="E203" s="31">
        <v>499.0</v>
      </c>
      <c r="F203" s="64">
        <v>44942.0</v>
      </c>
      <c r="G203" s="8">
        <f t="shared" si="2"/>
        <v>-499</v>
      </c>
      <c r="I203" s="34"/>
      <c r="N203" s="49"/>
      <c r="P203" s="32">
        <v>44851.0</v>
      </c>
      <c r="Q203" s="8">
        <v>-499.0</v>
      </c>
      <c r="S203" s="49"/>
      <c r="W203" s="16"/>
    </row>
    <row r="204">
      <c r="A204" s="84" t="s">
        <v>65</v>
      </c>
      <c r="B204" s="62" t="s">
        <v>46</v>
      </c>
      <c r="C204" s="31">
        <v>5.53</v>
      </c>
      <c r="D204" s="31">
        <v>36.19</v>
      </c>
      <c r="E204" s="31">
        <v>199.0</v>
      </c>
      <c r="F204" s="64">
        <v>44942.0</v>
      </c>
      <c r="G204" s="8">
        <f t="shared" si="2"/>
        <v>-199</v>
      </c>
      <c r="I204" s="34"/>
      <c r="N204" s="49"/>
      <c r="P204" s="32">
        <v>44819.0</v>
      </c>
      <c r="Q204" s="8">
        <v>-499.0</v>
      </c>
      <c r="S204" s="49"/>
      <c r="W204" s="16"/>
    </row>
    <row r="205">
      <c r="A205" s="84" t="s">
        <v>68</v>
      </c>
      <c r="B205" s="62" t="s">
        <v>46</v>
      </c>
      <c r="C205" s="31">
        <v>25.3</v>
      </c>
      <c r="D205" s="31">
        <v>19.76</v>
      </c>
      <c r="E205" s="31">
        <v>499.0</v>
      </c>
      <c r="F205" s="64">
        <v>44910.0</v>
      </c>
      <c r="G205" s="8">
        <f t="shared" si="2"/>
        <v>-499</v>
      </c>
      <c r="I205" s="34"/>
      <c r="N205" s="49"/>
      <c r="P205" s="32">
        <v>44819.0</v>
      </c>
      <c r="Q205" s="8">
        <v>-199.0</v>
      </c>
      <c r="S205" s="49"/>
      <c r="W205" s="16"/>
    </row>
    <row r="206">
      <c r="A206" s="84" t="s">
        <v>65</v>
      </c>
      <c r="B206" s="62" t="s">
        <v>46</v>
      </c>
      <c r="C206" s="31">
        <v>5.63</v>
      </c>
      <c r="D206" s="31">
        <v>35.52</v>
      </c>
      <c r="E206" s="31">
        <v>199.0</v>
      </c>
      <c r="F206" s="64">
        <v>44910.0</v>
      </c>
      <c r="G206" s="8">
        <f t="shared" si="2"/>
        <v>-199</v>
      </c>
      <c r="I206" s="34"/>
      <c r="N206" s="49"/>
      <c r="P206" s="32">
        <v>44819.0</v>
      </c>
      <c r="Q206" s="8">
        <v>-499.0</v>
      </c>
      <c r="S206" s="49"/>
      <c r="W206" s="16"/>
    </row>
    <row r="207">
      <c r="A207" s="84" t="s">
        <v>54</v>
      </c>
      <c r="B207" s="62" t="s">
        <v>46</v>
      </c>
      <c r="C207" s="31">
        <v>6.89</v>
      </c>
      <c r="D207" s="31">
        <v>72.51</v>
      </c>
      <c r="E207" s="31">
        <v>499.0</v>
      </c>
      <c r="F207" s="64">
        <v>44910.0</v>
      </c>
      <c r="G207" s="8">
        <f t="shared" si="2"/>
        <v>-499</v>
      </c>
      <c r="I207" s="34"/>
      <c r="N207" s="49"/>
      <c r="P207" s="32">
        <v>44789.0</v>
      </c>
      <c r="Q207" s="8">
        <v>-499.0</v>
      </c>
      <c r="S207" s="49"/>
      <c r="W207" s="16"/>
    </row>
    <row r="208">
      <c r="A208" s="84" t="s">
        <v>68</v>
      </c>
      <c r="B208" s="62" t="s">
        <v>46</v>
      </c>
      <c r="C208" s="31">
        <v>25.08</v>
      </c>
      <c r="D208" s="31">
        <v>19.94</v>
      </c>
      <c r="E208" s="31">
        <v>499.0</v>
      </c>
      <c r="F208" s="64">
        <v>44880.0</v>
      </c>
      <c r="G208" s="8">
        <f t="shared" si="2"/>
        <v>-499</v>
      </c>
      <c r="I208" s="34"/>
      <c r="N208" s="49"/>
      <c r="P208" s="32">
        <v>44789.0</v>
      </c>
      <c r="Q208" s="8">
        <v>-199.0</v>
      </c>
      <c r="S208" s="49"/>
      <c r="W208" s="16"/>
    </row>
    <row r="209">
      <c r="A209" s="84" t="s">
        <v>54</v>
      </c>
      <c r="B209" s="62" t="s">
        <v>46</v>
      </c>
      <c r="C209" s="31">
        <v>7.0</v>
      </c>
      <c r="D209" s="31">
        <v>71.48</v>
      </c>
      <c r="E209" s="31">
        <v>499.0</v>
      </c>
      <c r="F209" s="64">
        <v>44880.0</v>
      </c>
      <c r="G209" s="8">
        <f t="shared" si="2"/>
        <v>-499</v>
      </c>
      <c r="I209" s="34"/>
      <c r="N209" s="49"/>
      <c r="P209" s="32">
        <v>44790.0</v>
      </c>
      <c r="Q209" s="8">
        <v>-499.0</v>
      </c>
      <c r="S209" s="49"/>
      <c r="W209" s="16"/>
    </row>
    <row r="210">
      <c r="A210" s="84" t="s">
        <v>65</v>
      </c>
      <c r="B210" s="62" t="s">
        <v>46</v>
      </c>
      <c r="C210" s="31">
        <v>5.41</v>
      </c>
      <c r="D210" s="31">
        <v>36.99</v>
      </c>
      <c r="E210" s="31">
        <v>199.0</v>
      </c>
      <c r="F210" s="64">
        <v>44880.0</v>
      </c>
      <c r="G210" s="8">
        <f t="shared" si="2"/>
        <v>-199</v>
      </c>
      <c r="I210" s="34"/>
      <c r="N210" s="49"/>
      <c r="P210" s="32">
        <v>44760.0</v>
      </c>
      <c r="Q210" s="8">
        <v>-199.0</v>
      </c>
      <c r="S210" s="49"/>
      <c r="W210" s="16"/>
    </row>
    <row r="211">
      <c r="A211" s="84" t="s">
        <v>54</v>
      </c>
      <c r="B211" s="62" t="s">
        <v>46</v>
      </c>
      <c r="C211" s="31">
        <v>7.0</v>
      </c>
      <c r="D211" s="31">
        <v>71.46</v>
      </c>
      <c r="E211" s="31">
        <v>499.0</v>
      </c>
      <c r="F211" s="64">
        <v>44851.0</v>
      </c>
      <c r="G211" s="8">
        <f t="shared" si="2"/>
        <v>-499</v>
      </c>
      <c r="I211" s="34"/>
      <c r="N211" s="49"/>
      <c r="P211" s="32">
        <v>44760.0</v>
      </c>
      <c r="Q211" s="8">
        <v>-499.0</v>
      </c>
      <c r="S211" s="49"/>
      <c r="W211" s="16"/>
    </row>
    <row r="212">
      <c r="A212" s="84" t="s">
        <v>65</v>
      </c>
      <c r="B212" s="62" t="s">
        <v>46</v>
      </c>
      <c r="C212" s="31">
        <v>5.71</v>
      </c>
      <c r="D212" s="31">
        <v>34.99</v>
      </c>
      <c r="E212" s="31">
        <v>199.0</v>
      </c>
      <c r="F212" s="64">
        <v>44851.0</v>
      </c>
      <c r="G212" s="8">
        <f t="shared" si="2"/>
        <v>-199</v>
      </c>
      <c r="I212" s="34"/>
      <c r="N212" s="49"/>
      <c r="P212" s="32">
        <v>44760.0</v>
      </c>
      <c r="Q212" s="8">
        <v>-499.0</v>
      </c>
      <c r="S212" s="49"/>
      <c r="W212" s="16"/>
    </row>
    <row r="213">
      <c r="A213" s="84" t="s">
        <v>68</v>
      </c>
      <c r="B213" s="62" t="s">
        <v>46</v>
      </c>
      <c r="C213" s="31">
        <v>26.36</v>
      </c>
      <c r="D213" s="31">
        <v>18.97</v>
      </c>
      <c r="E213" s="31">
        <v>499.0</v>
      </c>
      <c r="F213" s="64">
        <v>44851.0</v>
      </c>
      <c r="G213" s="8">
        <f t="shared" si="2"/>
        <v>-499</v>
      </c>
      <c r="I213" s="34"/>
      <c r="N213" s="49"/>
      <c r="P213" s="32">
        <v>44750.0</v>
      </c>
      <c r="Q213" s="8">
        <v>-999.0</v>
      </c>
      <c r="S213" s="49"/>
      <c r="W213" s="16"/>
    </row>
    <row r="214">
      <c r="A214" s="84" t="s">
        <v>54</v>
      </c>
      <c r="B214" s="62" t="s">
        <v>46</v>
      </c>
      <c r="C214" s="31">
        <v>6.86</v>
      </c>
      <c r="D214" s="31">
        <v>72.94</v>
      </c>
      <c r="E214" s="31">
        <v>499.0</v>
      </c>
      <c r="F214" s="64">
        <v>44819.0</v>
      </c>
      <c r="G214" s="8">
        <f t="shared" si="2"/>
        <v>-499</v>
      </c>
      <c r="I214" s="34"/>
      <c r="N214" s="49"/>
      <c r="P214" s="32">
        <v>44741.0</v>
      </c>
      <c r="Q214" s="8">
        <v>-742.0</v>
      </c>
      <c r="S214" s="49"/>
      <c r="W214" s="16"/>
    </row>
    <row r="215">
      <c r="A215" s="84" t="s">
        <v>65</v>
      </c>
      <c r="B215" s="62" t="s">
        <v>46</v>
      </c>
      <c r="C215" s="31">
        <v>5.76</v>
      </c>
      <c r="D215" s="31">
        <v>34.7</v>
      </c>
      <c r="E215" s="31">
        <v>199.0</v>
      </c>
      <c r="F215" s="64">
        <v>44819.0</v>
      </c>
      <c r="G215" s="8">
        <f t="shared" si="2"/>
        <v>-199</v>
      </c>
      <c r="I215" s="34"/>
      <c r="N215" s="49"/>
      <c r="P215" s="32">
        <v>44727.0</v>
      </c>
      <c r="Q215" s="8">
        <v>-199.0</v>
      </c>
      <c r="S215" s="49"/>
      <c r="W215" s="16"/>
    </row>
    <row r="216">
      <c r="A216" s="84" t="s">
        <v>68</v>
      </c>
      <c r="B216" s="62" t="s">
        <v>46</v>
      </c>
      <c r="C216" s="31">
        <v>25.93</v>
      </c>
      <c r="D216" s="31">
        <v>19.29</v>
      </c>
      <c r="E216" s="31">
        <v>499.0</v>
      </c>
      <c r="F216" s="64">
        <v>44819.0</v>
      </c>
      <c r="G216" s="8">
        <f t="shared" si="2"/>
        <v>-499</v>
      </c>
      <c r="I216" s="34"/>
      <c r="N216" s="49"/>
      <c r="P216" s="32">
        <v>44727.0</v>
      </c>
      <c r="Q216" s="8">
        <v>-499.0</v>
      </c>
      <c r="S216" s="49"/>
      <c r="W216" s="16"/>
    </row>
    <row r="217">
      <c r="A217" s="84" t="s">
        <v>68</v>
      </c>
      <c r="B217" s="62" t="s">
        <v>46</v>
      </c>
      <c r="C217" s="31">
        <v>25.97</v>
      </c>
      <c r="D217" s="31">
        <v>19.25</v>
      </c>
      <c r="E217" s="31">
        <v>499.0</v>
      </c>
      <c r="F217" s="64">
        <v>44789.0</v>
      </c>
      <c r="G217" s="8">
        <f t="shared" si="2"/>
        <v>-499</v>
      </c>
      <c r="I217" s="34"/>
      <c r="N217" s="49"/>
      <c r="P217" s="32">
        <v>44727.0</v>
      </c>
      <c r="Q217" s="8">
        <v>-499.0</v>
      </c>
      <c r="S217" s="49"/>
      <c r="W217" s="16"/>
    </row>
    <row r="218">
      <c r="A218" s="84" t="s">
        <v>65</v>
      </c>
      <c r="B218" s="62" t="s">
        <v>46</v>
      </c>
      <c r="C218" s="31">
        <v>5.49</v>
      </c>
      <c r="D218" s="31">
        <v>36.45</v>
      </c>
      <c r="E218" s="31">
        <v>199.0</v>
      </c>
      <c r="F218" s="64">
        <v>44789.0</v>
      </c>
      <c r="G218" s="8">
        <f t="shared" si="2"/>
        <v>-199</v>
      </c>
      <c r="I218" s="34"/>
      <c r="N218" s="49"/>
      <c r="P218" s="32">
        <v>44697.0</v>
      </c>
      <c r="Q218" s="8">
        <v>-499.0</v>
      </c>
      <c r="S218" s="49"/>
      <c r="W218" s="16"/>
    </row>
    <row r="219">
      <c r="A219" s="84" t="s">
        <v>54</v>
      </c>
      <c r="B219" s="62" t="s">
        <v>46</v>
      </c>
      <c r="C219" s="31">
        <v>7.2</v>
      </c>
      <c r="D219" s="31">
        <v>69.46</v>
      </c>
      <c r="E219" s="31">
        <v>499.0</v>
      </c>
      <c r="F219" s="64">
        <v>44790.0</v>
      </c>
      <c r="G219" s="8">
        <f t="shared" si="2"/>
        <v>-499</v>
      </c>
      <c r="I219" s="34"/>
      <c r="N219" s="49"/>
      <c r="P219" s="32">
        <v>44697.0</v>
      </c>
      <c r="Q219" s="8">
        <v>-199.0</v>
      </c>
      <c r="S219" s="49"/>
      <c r="W219" s="16"/>
    </row>
    <row r="220">
      <c r="A220" s="84" t="s">
        <v>65</v>
      </c>
      <c r="B220" s="62" t="s">
        <v>46</v>
      </c>
      <c r="C220" s="31">
        <v>5.96</v>
      </c>
      <c r="D220" s="31">
        <v>33.57</v>
      </c>
      <c r="E220" s="31">
        <v>199.0</v>
      </c>
      <c r="F220" s="64">
        <v>44760.0</v>
      </c>
      <c r="G220" s="8">
        <f t="shared" si="2"/>
        <v>-199</v>
      </c>
      <c r="I220" s="34"/>
      <c r="N220" s="49"/>
      <c r="P220" s="32">
        <v>44697.0</v>
      </c>
      <c r="Q220" s="8">
        <v>-499.0</v>
      </c>
      <c r="S220" s="49"/>
      <c r="W220" s="16"/>
    </row>
    <row r="221">
      <c r="A221" s="84" t="s">
        <v>54</v>
      </c>
      <c r="B221" s="62" t="s">
        <v>46</v>
      </c>
      <c r="C221" s="31">
        <v>7.73</v>
      </c>
      <c r="D221" s="31">
        <v>64.65</v>
      </c>
      <c r="E221" s="31">
        <v>499.0</v>
      </c>
      <c r="F221" s="64">
        <v>44760.0</v>
      </c>
      <c r="G221" s="8">
        <f t="shared" si="2"/>
        <v>-499</v>
      </c>
      <c r="I221" s="34"/>
      <c r="N221" s="49"/>
      <c r="P221" s="32">
        <v>44669.0</v>
      </c>
      <c r="Q221" s="8">
        <v>-199.0</v>
      </c>
      <c r="S221" s="49"/>
      <c r="W221" s="16"/>
    </row>
    <row r="222">
      <c r="A222" s="84" t="s">
        <v>68</v>
      </c>
      <c r="B222" s="62" t="s">
        <v>46</v>
      </c>
      <c r="C222" s="31">
        <v>28.56</v>
      </c>
      <c r="D222" s="31">
        <v>17.51</v>
      </c>
      <c r="E222" s="31">
        <v>499.0</v>
      </c>
      <c r="F222" s="64">
        <v>44760.0</v>
      </c>
      <c r="G222" s="8">
        <f t="shared" si="2"/>
        <v>-499</v>
      </c>
      <c r="I222" s="34"/>
      <c r="N222" s="49"/>
      <c r="P222" s="32">
        <v>44669.0</v>
      </c>
      <c r="Q222" s="8">
        <v>-499.0</v>
      </c>
      <c r="S222" s="49"/>
      <c r="W222" s="16"/>
    </row>
    <row r="223">
      <c r="A223" s="84" t="s">
        <v>65</v>
      </c>
      <c r="B223" s="62" t="s">
        <v>46</v>
      </c>
      <c r="C223" s="31">
        <v>29.0</v>
      </c>
      <c r="D223" s="31">
        <v>34.48</v>
      </c>
      <c r="E223" s="31">
        <v>999.0</v>
      </c>
      <c r="F223" s="94">
        <v>44750.0</v>
      </c>
      <c r="G223" s="8">
        <f t="shared" si="2"/>
        <v>-999</v>
      </c>
      <c r="I223" s="89"/>
      <c r="N223" s="49"/>
      <c r="P223" s="32">
        <v>44669.0</v>
      </c>
      <c r="Q223" s="8">
        <v>-499.0</v>
      </c>
      <c r="S223" s="49"/>
      <c r="W223" s="16"/>
    </row>
    <row r="224">
      <c r="A224" s="84" t="s">
        <v>66</v>
      </c>
      <c r="B224" s="62" t="s">
        <v>46</v>
      </c>
      <c r="C224" s="31">
        <v>43.65</v>
      </c>
      <c r="D224" s="31">
        <v>17.02</v>
      </c>
      <c r="E224" s="31">
        <v>742.0</v>
      </c>
      <c r="F224" s="64">
        <v>44741.0</v>
      </c>
      <c r="G224" s="8">
        <f t="shared" si="2"/>
        <v>-742</v>
      </c>
      <c r="I224" s="34"/>
      <c r="N224" s="49"/>
      <c r="P224" s="32">
        <v>44635.0</v>
      </c>
      <c r="Q224" s="8">
        <v>-499.0</v>
      </c>
      <c r="S224" s="49"/>
      <c r="W224" s="16"/>
    </row>
    <row r="225">
      <c r="A225" s="84" t="s">
        <v>65</v>
      </c>
      <c r="B225" s="62" t="s">
        <v>46</v>
      </c>
      <c r="C225" s="31">
        <v>5.95</v>
      </c>
      <c r="D225" s="31">
        <v>33.61</v>
      </c>
      <c r="E225" s="31">
        <v>199.0</v>
      </c>
      <c r="F225" s="64">
        <v>44727.0</v>
      </c>
      <c r="G225" s="8">
        <f t="shared" si="2"/>
        <v>-199</v>
      </c>
      <c r="I225" s="34"/>
      <c r="N225" s="49"/>
      <c r="P225" s="32">
        <v>44635.0</v>
      </c>
      <c r="Q225" s="8">
        <v>-199.0</v>
      </c>
      <c r="S225" s="49"/>
      <c r="W225" s="16"/>
    </row>
    <row r="226">
      <c r="A226" s="84" t="s">
        <v>54</v>
      </c>
      <c r="B226" s="62" t="s">
        <v>46</v>
      </c>
      <c r="C226" s="31">
        <v>8.04</v>
      </c>
      <c r="D226" s="31">
        <v>62.15</v>
      </c>
      <c r="E226" s="31">
        <v>499.0</v>
      </c>
      <c r="F226" s="64">
        <v>44727.0</v>
      </c>
      <c r="G226" s="8">
        <f t="shared" si="2"/>
        <v>-499</v>
      </c>
      <c r="I226" s="34"/>
      <c r="N226" s="49"/>
      <c r="P226" s="32">
        <v>44635.0</v>
      </c>
      <c r="Q226" s="8">
        <v>-499.0</v>
      </c>
      <c r="S226" s="49"/>
      <c r="W226" s="16"/>
    </row>
    <row r="227">
      <c r="A227" s="84" t="s">
        <v>68</v>
      </c>
      <c r="B227" s="62" t="s">
        <v>46</v>
      </c>
      <c r="C227" s="31">
        <v>29.64</v>
      </c>
      <c r="D227" s="31">
        <v>16.87</v>
      </c>
      <c r="E227" s="31">
        <v>499.0</v>
      </c>
      <c r="F227" s="64">
        <v>44727.0</v>
      </c>
      <c r="G227" s="8">
        <f t="shared" si="2"/>
        <v>-499</v>
      </c>
      <c r="I227" s="34"/>
      <c r="N227" s="49"/>
      <c r="P227" s="32">
        <v>44635.0</v>
      </c>
      <c r="Q227" s="8">
        <v>-499.0</v>
      </c>
      <c r="S227" s="49"/>
      <c r="W227" s="16"/>
    </row>
    <row r="228">
      <c r="A228" s="84" t="s">
        <v>54</v>
      </c>
      <c r="B228" s="62" t="s">
        <v>46</v>
      </c>
      <c r="C228" s="31">
        <v>8.02</v>
      </c>
      <c r="D228" s="31">
        <v>62.31</v>
      </c>
      <c r="E228" s="31">
        <v>499.0</v>
      </c>
      <c r="F228" s="91">
        <v>44697.0</v>
      </c>
      <c r="G228" s="8">
        <f t="shared" si="2"/>
        <v>-499</v>
      </c>
      <c r="I228" s="92"/>
      <c r="N228" s="49"/>
      <c r="P228" s="32">
        <v>44607.0</v>
      </c>
      <c r="Q228" s="8">
        <v>-499.0</v>
      </c>
      <c r="S228" s="49"/>
      <c r="W228" s="16"/>
    </row>
    <row r="229">
      <c r="A229" s="84" t="s">
        <v>65</v>
      </c>
      <c r="B229" s="62" t="s">
        <v>46</v>
      </c>
      <c r="C229" s="31">
        <v>5.7</v>
      </c>
      <c r="D229" s="31">
        <v>35.06</v>
      </c>
      <c r="E229" s="31">
        <v>199.0</v>
      </c>
      <c r="F229" s="91">
        <v>44697.0</v>
      </c>
      <c r="G229" s="8">
        <f t="shared" si="2"/>
        <v>-199</v>
      </c>
      <c r="I229" s="92"/>
      <c r="N229" s="49"/>
      <c r="P229" s="32">
        <v>44607.0</v>
      </c>
      <c r="Q229" s="8">
        <v>-499.0</v>
      </c>
      <c r="S229" s="49"/>
      <c r="W229" s="16"/>
    </row>
    <row r="230">
      <c r="A230" s="84" t="s">
        <v>68</v>
      </c>
      <c r="B230" s="62" t="s">
        <v>46</v>
      </c>
      <c r="C230" s="31">
        <v>29.53</v>
      </c>
      <c r="D230" s="31">
        <v>16.93</v>
      </c>
      <c r="E230" s="31">
        <v>499.0</v>
      </c>
      <c r="F230" s="91">
        <v>44697.0</v>
      </c>
      <c r="G230" s="8">
        <f t="shared" si="2"/>
        <v>-499</v>
      </c>
      <c r="I230" s="92"/>
      <c r="N230" s="49"/>
      <c r="P230" s="32">
        <v>44607.0</v>
      </c>
      <c r="Q230" s="8">
        <v>-199.0</v>
      </c>
      <c r="S230" s="49"/>
      <c r="W230" s="16"/>
    </row>
    <row r="231">
      <c r="A231" s="84" t="s">
        <v>65</v>
      </c>
      <c r="B231" s="62" t="s">
        <v>46</v>
      </c>
      <c r="C231" s="31">
        <v>5.08</v>
      </c>
      <c r="D231" s="31">
        <v>39.33</v>
      </c>
      <c r="E231" s="31">
        <v>199.0</v>
      </c>
      <c r="F231" s="64">
        <v>44669.0</v>
      </c>
      <c r="G231" s="8">
        <f t="shared" si="2"/>
        <v>-199</v>
      </c>
      <c r="I231" s="34"/>
      <c r="N231" s="49"/>
      <c r="P231" s="32">
        <v>44607.0</v>
      </c>
      <c r="Q231" s="8">
        <v>-499.0</v>
      </c>
      <c r="S231" s="49"/>
      <c r="W231" s="16"/>
    </row>
    <row r="232">
      <c r="A232" s="84" t="s">
        <v>68</v>
      </c>
      <c r="B232" s="62" t="s">
        <v>46</v>
      </c>
      <c r="C232" s="31">
        <v>27.41</v>
      </c>
      <c r="D232" s="31">
        <v>18.24</v>
      </c>
      <c r="E232" s="31">
        <v>499.0</v>
      </c>
      <c r="F232" s="64">
        <v>44669.0</v>
      </c>
      <c r="G232" s="8">
        <f t="shared" si="2"/>
        <v>-499</v>
      </c>
      <c r="I232" s="34"/>
      <c r="N232" s="49"/>
      <c r="P232" s="32">
        <v>44578.0</v>
      </c>
      <c r="Q232" s="8">
        <v>-499.0</v>
      </c>
      <c r="S232" s="49"/>
      <c r="W232" s="16"/>
    </row>
    <row r="233">
      <c r="A233" s="84" t="s">
        <v>54</v>
      </c>
      <c r="B233" s="62" t="s">
        <v>46</v>
      </c>
      <c r="C233" s="31">
        <v>7.3</v>
      </c>
      <c r="D233" s="31">
        <v>68.47</v>
      </c>
      <c r="E233" s="31">
        <v>499.0</v>
      </c>
      <c r="F233" s="64">
        <v>44669.0</v>
      </c>
      <c r="G233" s="8">
        <f t="shared" si="2"/>
        <v>-499</v>
      </c>
      <c r="I233" s="34"/>
      <c r="N233" s="49"/>
      <c r="P233" s="32">
        <v>44578.0</v>
      </c>
      <c r="Q233" s="8">
        <v>-499.0</v>
      </c>
      <c r="S233" s="49"/>
      <c r="W233" s="16"/>
    </row>
    <row r="234">
      <c r="A234" s="84" t="s">
        <v>50</v>
      </c>
      <c r="B234" s="62" t="s">
        <v>46</v>
      </c>
      <c r="C234" s="31">
        <v>23.48</v>
      </c>
      <c r="D234" s="31">
        <v>21.29</v>
      </c>
      <c r="E234" s="31">
        <v>499.0</v>
      </c>
      <c r="F234" s="64">
        <v>44635.0</v>
      </c>
      <c r="G234" s="8">
        <f t="shared" si="2"/>
        <v>-499</v>
      </c>
      <c r="I234" s="34"/>
      <c r="N234" s="49"/>
      <c r="P234" s="32">
        <v>44578.0</v>
      </c>
      <c r="Q234" s="8">
        <v>-499.0</v>
      </c>
      <c r="S234" s="49"/>
      <c r="W234" s="16"/>
    </row>
    <row r="235">
      <c r="A235" s="84" t="s">
        <v>65</v>
      </c>
      <c r="B235" s="62" t="s">
        <v>46</v>
      </c>
      <c r="C235" s="31">
        <v>4.88</v>
      </c>
      <c r="D235" s="31">
        <v>40.94</v>
      </c>
      <c r="E235" s="31">
        <v>199.0</v>
      </c>
      <c r="F235" s="64">
        <v>44635.0</v>
      </c>
      <c r="G235" s="8">
        <f t="shared" si="2"/>
        <v>-199</v>
      </c>
      <c r="I235" s="34"/>
      <c r="N235" s="49"/>
      <c r="P235" s="32">
        <v>44578.0</v>
      </c>
      <c r="Q235" s="8">
        <v>-199.0</v>
      </c>
      <c r="S235" s="49"/>
      <c r="W235" s="16"/>
    </row>
    <row r="236">
      <c r="A236" s="84" t="s">
        <v>68</v>
      </c>
      <c r="B236" s="62" t="s">
        <v>46</v>
      </c>
      <c r="C236" s="31">
        <v>28.09</v>
      </c>
      <c r="D236" s="31">
        <v>17.8</v>
      </c>
      <c r="E236" s="31">
        <v>499.0</v>
      </c>
      <c r="F236" s="64">
        <v>44635.0</v>
      </c>
      <c r="G236" s="8">
        <f t="shared" si="2"/>
        <v>-499</v>
      </c>
      <c r="I236" s="34"/>
      <c r="N236" s="49"/>
      <c r="P236" s="32">
        <v>44545.0</v>
      </c>
      <c r="Q236" s="8">
        <v>-499.0</v>
      </c>
      <c r="S236" s="49"/>
      <c r="W236" s="16"/>
    </row>
    <row r="237">
      <c r="A237" s="84" t="s">
        <v>54</v>
      </c>
      <c r="B237" s="62" t="s">
        <v>46</v>
      </c>
      <c r="C237" s="31">
        <v>7.68</v>
      </c>
      <c r="D237" s="31">
        <v>65.08</v>
      </c>
      <c r="E237" s="31">
        <v>499.0</v>
      </c>
      <c r="F237" s="64">
        <v>44635.0</v>
      </c>
      <c r="G237" s="8">
        <f t="shared" si="2"/>
        <v>-499</v>
      </c>
      <c r="I237" s="34"/>
      <c r="N237" s="49"/>
      <c r="P237" s="32">
        <v>44545.0</v>
      </c>
      <c r="Q237" s="8">
        <v>-199.0</v>
      </c>
      <c r="S237" s="49"/>
      <c r="W237" s="16"/>
    </row>
    <row r="238">
      <c r="A238" s="84" t="s">
        <v>50</v>
      </c>
      <c r="B238" s="62" t="s">
        <v>46</v>
      </c>
      <c r="C238" s="31">
        <v>21.49</v>
      </c>
      <c r="D238" s="31">
        <v>23.27</v>
      </c>
      <c r="E238" s="31">
        <v>499.0</v>
      </c>
      <c r="F238" s="64">
        <v>44607.0</v>
      </c>
      <c r="G238" s="8">
        <f t="shared" si="2"/>
        <v>-499</v>
      </c>
      <c r="I238" s="34"/>
      <c r="N238" s="49"/>
      <c r="P238" s="32">
        <v>44545.0</v>
      </c>
      <c r="Q238" s="8">
        <v>-499.0</v>
      </c>
      <c r="S238" s="49"/>
      <c r="W238" s="16"/>
    </row>
    <row r="239">
      <c r="A239" s="84" t="s">
        <v>68</v>
      </c>
      <c r="B239" s="62" t="s">
        <v>46</v>
      </c>
      <c r="C239" s="31">
        <v>26.94</v>
      </c>
      <c r="D239" s="31">
        <v>18.56</v>
      </c>
      <c r="E239" s="31">
        <v>499.0</v>
      </c>
      <c r="F239" s="64">
        <v>44607.0</v>
      </c>
      <c r="G239" s="8">
        <f t="shared" si="2"/>
        <v>-499</v>
      </c>
      <c r="I239" s="34"/>
      <c r="N239" s="49"/>
      <c r="P239" s="32">
        <v>44543.0</v>
      </c>
      <c r="Q239" s="8">
        <v>-499.0</v>
      </c>
      <c r="S239" s="49"/>
      <c r="W239" s="16"/>
    </row>
    <row r="240">
      <c r="A240" s="84" t="s">
        <v>65</v>
      </c>
      <c r="B240" s="62" t="s">
        <v>46</v>
      </c>
      <c r="C240" s="31">
        <v>4.91</v>
      </c>
      <c r="D240" s="31">
        <v>40.75</v>
      </c>
      <c r="E240" s="31">
        <v>199.0</v>
      </c>
      <c r="F240" s="64">
        <v>44607.0</v>
      </c>
      <c r="G240" s="8">
        <f t="shared" si="2"/>
        <v>-199</v>
      </c>
      <c r="I240" s="34"/>
      <c r="N240" s="49"/>
      <c r="P240" s="32">
        <v>44515.0</v>
      </c>
      <c r="Q240" s="8">
        <v>-499.0</v>
      </c>
      <c r="S240" s="49"/>
      <c r="W240" s="16"/>
    </row>
    <row r="241">
      <c r="A241" s="84" t="s">
        <v>54</v>
      </c>
      <c r="B241" s="62" t="s">
        <v>46</v>
      </c>
      <c r="C241" s="31">
        <v>7.54</v>
      </c>
      <c r="D241" s="31">
        <v>66.34</v>
      </c>
      <c r="E241" s="31">
        <v>499.0</v>
      </c>
      <c r="F241" s="64">
        <v>44607.0</v>
      </c>
      <c r="G241" s="8">
        <f t="shared" si="2"/>
        <v>-499</v>
      </c>
      <c r="I241" s="34"/>
      <c r="N241" s="49"/>
      <c r="P241" s="32">
        <v>44515.0</v>
      </c>
      <c r="Q241" s="8">
        <v>-199.0</v>
      </c>
      <c r="S241" s="49"/>
      <c r="W241" s="16"/>
    </row>
    <row r="242">
      <c r="A242" s="84" t="s">
        <v>68</v>
      </c>
      <c r="B242" s="62" t="s">
        <v>46</v>
      </c>
      <c r="C242" s="31">
        <v>25.58</v>
      </c>
      <c r="D242" s="31">
        <v>19.55</v>
      </c>
      <c r="E242" s="31">
        <v>499.0</v>
      </c>
      <c r="F242" s="64">
        <v>44578.0</v>
      </c>
      <c r="G242" s="8">
        <f t="shared" si="2"/>
        <v>-499</v>
      </c>
      <c r="I242" s="34"/>
      <c r="N242" s="49"/>
      <c r="P242" s="32">
        <v>44515.0</v>
      </c>
      <c r="Q242" s="8">
        <v>-499.0</v>
      </c>
      <c r="S242" s="49"/>
      <c r="W242" s="16"/>
    </row>
    <row r="243">
      <c r="A243" s="84" t="s">
        <v>54</v>
      </c>
      <c r="B243" s="62" t="s">
        <v>46</v>
      </c>
      <c r="C243" s="31">
        <v>7.01</v>
      </c>
      <c r="D243" s="31">
        <v>71.28</v>
      </c>
      <c r="E243" s="31">
        <v>499.0</v>
      </c>
      <c r="F243" s="64">
        <v>44578.0</v>
      </c>
      <c r="G243" s="8">
        <f t="shared" si="2"/>
        <v>-499</v>
      </c>
      <c r="I243" s="34"/>
      <c r="N243" s="49"/>
      <c r="P243" s="32">
        <v>44515.0</v>
      </c>
      <c r="Q243" s="8">
        <v>-499.0</v>
      </c>
      <c r="S243" s="49"/>
      <c r="W243" s="16"/>
    </row>
    <row r="244">
      <c r="A244" s="84" t="s">
        <v>50</v>
      </c>
      <c r="B244" s="62" t="s">
        <v>46</v>
      </c>
      <c r="C244" s="31">
        <v>20.47</v>
      </c>
      <c r="D244" s="31">
        <v>24.42</v>
      </c>
      <c r="E244" s="31">
        <v>499.0</v>
      </c>
      <c r="F244" s="64">
        <v>44578.0</v>
      </c>
      <c r="G244" s="8">
        <f t="shared" si="2"/>
        <v>-499</v>
      </c>
      <c r="I244" s="34"/>
      <c r="N244" s="49"/>
      <c r="P244" s="32">
        <v>44487.0</v>
      </c>
      <c r="Q244" s="8">
        <v>-499.0</v>
      </c>
      <c r="S244" s="49"/>
      <c r="W244" s="16"/>
    </row>
    <row r="245">
      <c r="A245" s="84" t="s">
        <v>65</v>
      </c>
      <c r="B245" s="62" t="s">
        <v>46</v>
      </c>
      <c r="C245" s="31">
        <v>4.42</v>
      </c>
      <c r="D245" s="31">
        <v>45.22</v>
      </c>
      <c r="E245" s="31">
        <v>199.0</v>
      </c>
      <c r="F245" s="64">
        <v>44578.0</v>
      </c>
      <c r="G245" s="8">
        <f t="shared" si="2"/>
        <v>-199</v>
      </c>
      <c r="I245" s="34"/>
      <c r="N245" s="49"/>
      <c r="P245" s="32">
        <v>44487.0</v>
      </c>
      <c r="Q245" s="8">
        <v>-499.0</v>
      </c>
      <c r="S245" s="49"/>
      <c r="W245" s="16"/>
    </row>
    <row r="246">
      <c r="A246" s="84" t="s">
        <v>50</v>
      </c>
      <c r="B246" s="62" t="s">
        <v>46</v>
      </c>
      <c r="C246" s="31">
        <v>19.66</v>
      </c>
      <c r="D246" s="31">
        <v>25.42</v>
      </c>
      <c r="E246" s="31">
        <v>499.0</v>
      </c>
      <c r="F246" s="64">
        <v>44545.0</v>
      </c>
      <c r="G246" s="8">
        <f t="shared" si="2"/>
        <v>-499</v>
      </c>
      <c r="I246" s="34"/>
      <c r="N246" s="49"/>
      <c r="P246" s="32">
        <v>44487.0</v>
      </c>
      <c r="Q246" s="8">
        <v>-199.0</v>
      </c>
      <c r="S246" s="49"/>
      <c r="W246" s="16"/>
    </row>
    <row r="247">
      <c r="A247" s="84" t="s">
        <v>65</v>
      </c>
      <c r="B247" s="62" t="s">
        <v>46</v>
      </c>
      <c r="C247" s="31">
        <v>4.74</v>
      </c>
      <c r="D247" s="31">
        <v>42.21</v>
      </c>
      <c r="E247" s="31">
        <v>199.0</v>
      </c>
      <c r="F247" s="64">
        <v>44545.0</v>
      </c>
      <c r="G247" s="8">
        <f t="shared" si="2"/>
        <v>-199</v>
      </c>
      <c r="I247" s="34"/>
      <c r="N247" s="49"/>
      <c r="P247" s="32">
        <v>44487.0</v>
      </c>
      <c r="Q247" s="8">
        <v>-499.0</v>
      </c>
      <c r="S247" s="49"/>
      <c r="W247" s="16"/>
    </row>
    <row r="248">
      <c r="A248" s="84" t="s">
        <v>68</v>
      </c>
      <c r="B248" s="62" t="s">
        <v>46</v>
      </c>
      <c r="C248" s="31">
        <v>27.13</v>
      </c>
      <c r="D248" s="31">
        <v>18.43</v>
      </c>
      <c r="E248" s="31">
        <v>499.0</v>
      </c>
      <c r="F248" s="64">
        <v>44545.0</v>
      </c>
      <c r="G248" s="8">
        <f t="shared" si="2"/>
        <v>-499</v>
      </c>
      <c r="I248" s="34"/>
      <c r="N248" s="49"/>
      <c r="P248" s="32">
        <v>44454.0</v>
      </c>
      <c r="Q248" s="8">
        <v>-199.0</v>
      </c>
      <c r="S248" s="49"/>
      <c r="W248" s="16"/>
    </row>
    <row r="249">
      <c r="A249" s="84" t="s">
        <v>54</v>
      </c>
      <c r="B249" s="62" t="s">
        <v>46</v>
      </c>
      <c r="C249" s="31">
        <v>7.38</v>
      </c>
      <c r="D249" s="31">
        <v>67.71</v>
      </c>
      <c r="E249" s="31">
        <v>499.0</v>
      </c>
      <c r="F249" s="64">
        <v>44543.0</v>
      </c>
      <c r="G249" s="8">
        <f t="shared" si="2"/>
        <v>-499</v>
      </c>
      <c r="I249" s="34"/>
      <c r="N249" s="49"/>
      <c r="P249" s="32">
        <v>44454.0</v>
      </c>
      <c r="Q249" s="8">
        <v>-499.0</v>
      </c>
      <c r="S249" s="49"/>
      <c r="W249" s="16"/>
    </row>
    <row r="250">
      <c r="A250" s="84" t="s">
        <v>64</v>
      </c>
      <c r="B250" s="62" t="s">
        <v>61</v>
      </c>
      <c r="C250" s="31">
        <v>19.19</v>
      </c>
      <c r="D250" s="31">
        <v>53.35</v>
      </c>
      <c r="E250" s="93">
        <v>1023.0</v>
      </c>
      <c r="F250" s="64">
        <v>44526.0</v>
      </c>
      <c r="G250" s="8">
        <f t="shared" si="2"/>
        <v>-1023</v>
      </c>
      <c r="I250" s="34"/>
      <c r="N250" s="49"/>
      <c r="P250" s="32">
        <v>44454.0</v>
      </c>
      <c r="Q250" s="8">
        <v>-499.0</v>
      </c>
      <c r="S250" s="49"/>
      <c r="W250" s="16"/>
    </row>
    <row r="251">
      <c r="A251" s="84" t="s">
        <v>54</v>
      </c>
      <c r="B251" s="62" t="s">
        <v>61</v>
      </c>
      <c r="C251" s="31">
        <v>123.14</v>
      </c>
      <c r="D251" s="31">
        <v>64.6</v>
      </c>
      <c r="E251" s="95">
        <v>7955.0</v>
      </c>
      <c r="F251" s="64">
        <v>44524.0</v>
      </c>
      <c r="G251" s="8">
        <f t="shared" si="2"/>
        <v>-7955</v>
      </c>
      <c r="I251" s="34"/>
      <c r="N251" s="49"/>
      <c r="P251" s="32">
        <v>44454.0</v>
      </c>
      <c r="Q251" s="8">
        <v>-499.0</v>
      </c>
      <c r="S251" s="49"/>
      <c r="W251" s="16"/>
    </row>
    <row r="252">
      <c r="A252" s="84" t="s">
        <v>69</v>
      </c>
      <c r="B252" s="62" t="s">
        <v>63</v>
      </c>
      <c r="C252" s="31">
        <v>11.4</v>
      </c>
      <c r="D252" s="31">
        <v>89.9</v>
      </c>
      <c r="E252" s="93">
        <v>1024.0</v>
      </c>
      <c r="F252" s="64">
        <v>44524.0</v>
      </c>
      <c r="G252" s="25">
        <f t="shared" si="2"/>
        <v>1024</v>
      </c>
      <c r="I252" s="34"/>
      <c r="J252" s="25"/>
      <c r="N252" s="49"/>
      <c r="P252" s="32">
        <v>44424.0</v>
      </c>
      <c r="Q252" s="8">
        <v>-499.0</v>
      </c>
      <c r="S252" s="49"/>
      <c r="W252" s="16"/>
    </row>
    <row r="253">
      <c r="A253" s="84" t="s">
        <v>53</v>
      </c>
      <c r="B253" s="62" t="s">
        <v>63</v>
      </c>
      <c r="C253" s="31">
        <v>102.16</v>
      </c>
      <c r="D253" s="31">
        <v>77.87</v>
      </c>
      <c r="E253" s="95">
        <v>7955.0</v>
      </c>
      <c r="F253" s="64">
        <v>44524.0</v>
      </c>
      <c r="G253" s="25">
        <f t="shared" si="2"/>
        <v>7955</v>
      </c>
      <c r="I253" s="34"/>
      <c r="J253" s="25"/>
      <c r="N253" s="49"/>
      <c r="P253" s="32">
        <v>44424.0</v>
      </c>
      <c r="Q253" s="8">
        <v>-499.0</v>
      </c>
      <c r="S253" s="49"/>
      <c r="W253" s="16"/>
    </row>
    <row r="254">
      <c r="A254" s="84" t="s">
        <v>50</v>
      </c>
      <c r="B254" s="62" t="s">
        <v>46</v>
      </c>
      <c r="C254" s="31">
        <v>19.71</v>
      </c>
      <c r="D254" s="31">
        <v>25.37</v>
      </c>
      <c r="E254" s="31">
        <v>499.0</v>
      </c>
      <c r="F254" s="64">
        <v>44515.0</v>
      </c>
      <c r="G254" s="8">
        <f t="shared" si="2"/>
        <v>-499</v>
      </c>
      <c r="I254" s="34"/>
      <c r="N254" s="49"/>
      <c r="P254" s="32">
        <v>44424.0</v>
      </c>
      <c r="Q254" s="8">
        <v>-499.0</v>
      </c>
      <c r="S254" s="49"/>
      <c r="W254" s="16"/>
    </row>
    <row r="255">
      <c r="A255" s="84" t="s">
        <v>65</v>
      </c>
      <c r="B255" s="62" t="s">
        <v>46</v>
      </c>
      <c r="C255" s="31">
        <v>4.64</v>
      </c>
      <c r="D255" s="31">
        <v>43.1</v>
      </c>
      <c r="E255" s="31">
        <v>199.0</v>
      </c>
      <c r="F255" s="64">
        <v>44515.0</v>
      </c>
      <c r="G255" s="8">
        <f t="shared" si="2"/>
        <v>-199</v>
      </c>
      <c r="I255" s="34"/>
      <c r="N255" s="49"/>
      <c r="P255" s="32">
        <v>44420.0</v>
      </c>
      <c r="Q255" s="8">
        <v>-199.0</v>
      </c>
      <c r="S255" s="49"/>
      <c r="W255" s="16"/>
    </row>
    <row r="256">
      <c r="A256" s="84" t="s">
        <v>70</v>
      </c>
      <c r="B256" s="62" t="s">
        <v>46</v>
      </c>
      <c r="C256" s="31">
        <v>6.13</v>
      </c>
      <c r="D256" s="31">
        <v>81.5</v>
      </c>
      <c r="E256" s="31">
        <v>499.0</v>
      </c>
      <c r="F256" s="64">
        <v>44515.0</v>
      </c>
      <c r="G256" s="8">
        <f t="shared" si="2"/>
        <v>-499</v>
      </c>
      <c r="I256" s="34"/>
      <c r="N256" s="49"/>
      <c r="P256" s="32">
        <v>44393.0</v>
      </c>
      <c r="Q256" s="8">
        <v>-499.0</v>
      </c>
      <c r="S256" s="49"/>
      <c r="W256" s="16"/>
    </row>
    <row r="257">
      <c r="A257" s="84" t="s">
        <v>68</v>
      </c>
      <c r="B257" s="62" t="s">
        <v>46</v>
      </c>
      <c r="C257" s="31">
        <v>25.81</v>
      </c>
      <c r="D257" s="31">
        <v>19.37</v>
      </c>
      <c r="E257" s="31">
        <v>499.0</v>
      </c>
      <c r="F257" s="64">
        <v>44515.0</v>
      </c>
      <c r="G257" s="8">
        <f t="shared" si="2"/>
        <v>-499</v>
      </c>
      <c r="I257" s="34"/>
      <c r="N257" s="49"/>
      <c r="P257" s="32">
        <v>44393.0</v>
      </c>
      <c r="Q257" s="8">
        <v>-499.0</v>
      </c>
      <c r="S257" s="49"/>
      <c r="W257" s="16"/>
    </row>
    <row r="258">
      <c r="A258" s="84" t="s">
        <v>70</v>
      </c>
      <c r="B258" s="62" t="s">
        <v>46</v>
      </c>
      <c r="C258" s="31">
        <v>6.11</v>
      </c>
      <c r="D258" s="31">
        <v>81.84</v>
      </c>
      <c r="E258" s="31">
        <v>499.0</v>
      </c>
      <c r="F258" s="64">
        <v>44487.0</v>
      </c>
      <c r="G258" s="8">
        <f t="shared" si="2"/>
        <v>-499</v>
      </c>
      <c r="I258" s="34"/>
      <c r="N258" s="49"/>
      <c r="P258" s="32">
        <v>44393.0</v>
      </c>
      <c r="Q258" s="8">
        <v>-499.0</v>
      </c>
      <c r="S258" s="49"/>
      <c r="W258" s="16"/>
    </row>
    <row r="259">
      <c r="A259" s="84" t="s">
        <v>68</v>
      </c>
      <c r="B259" s="62" t="s">
        <v>46</v>
      </c>
      <c r="C259" s="31">
        <v>25.4</v>
      </c>
      <c r="D259" s="31">
        <v>19.68</v>
      </c>
      <c r="E259" s="31">
        <v>499.0</v>
      </c>
      <c r="F259" s="64">
        <v>44487.0</v>
      </c>
      <c r="G259" s="8">
        <f t="shared" si="2"/>
        <v>-499</v>
      </c>
      <c r="I259" s="34"/>
      <c r="N259" s="49"/>
      <c r="P259" s="32">
        <v>44392.0</v>
      </c>
      <c r="Q259" s="8">
        <v>-499.0</v>
      </c>
      <c r="S259" s="49"/>
      <c r="W259" s="16"/>
    </row>
    <row r="260">
      <c r="A260" s="84" t="s">
        <v>65</v>
      </c>
      <c r="B260" s="62" t="s">
        <v>46</v>
      </c>
      <c r="C260" s="31">
        <v>4.65</v>
      </c>
      <c r="D260" s="31">
        <v>42.99</v>
      </c>
      <c r="E260" s="31">
        <v>199.0</v>
      </c>
      <c r="F260" s="64">
        <v>44487.0</v>
      </c>
      <c r="G260" s="8">
        <f t="shared" si="2"/>
        <v>-199</v>
      </c>
      <c r="I260" s="34"/>
      <c r="N260" s="49"/>
      <c r="P260" s="32">
        <v>44362.0</v>
      </c>
      <c r="Q260" s="8">
        <v>-499.0</v>
      </c>
      <c r="S260" s="49"/>
      <c r="W260" s="16"/>
    </row>
    <row r="261">
      <c r="A261" s="84" t="s">
        <v>50</v>
      </c>
      <c r="B261" s="62" t="s">
        <v>46</v>
      </c>
      <c r="C261" s="31">
        <v>20.98</v>
      </c>
      <c r="D261" s="31">
        <v>23.83</v>
      </c>
      <c r="E261" s="31">
        <v>499.0</v>
      </c>
      <c r="F261" s="64">
        <v>44487.0</v>
      </c>
      <c r="G261" s="8">
        <f t="shared" si="2"/>
        <v>-499</v>
      </c>
      <c r="I261" s="34"/>
      <c r="N261" s="49"/>
      <c r="P261" s="32">
        <v>44362.0</v>
      </c>
      <c r="Q261" s="8">
        <v>-499.0</v>
      </c>
      <c r="S261" s="49"/>
      <c r="W261" s="16"/>
    </row>
    <row r="262">
      <c r="A262" s="84" t="s">
        <v>65</v>
      </c>
      <c r="B262" s="62" t="s">
        <v>46</v>
      </c>
      <c r="C262" s="31">
        <v>4.82</v>
      </c>
      <c r="D262" s="31">
        <v>41.53</v>
      </c>
      <c r="E262" s="31">
        <v>199.0</v>
      </c>
      <c r="F262" s="64">
        <v>44454.0</v>
      </c>
      <c r="G262" s="8">
        <f t="shared" si="2"/>
        <v>-199</v>
      </c>
      <c r="I262" s="34"/>
      <c r="N262" s="49"/>
      <c r="P262" s="32">
        <v>44333.0</v>
      </c>
      <c r="Q262" s="8">
        <v>-499.0</v>
      </c>
      <c r="S262" s="49"/>
      <c r="W262" s="16"/>
    </row>
    <row r="263">
      <c r="A263" s="84" t="s">
        <v>70</v>
      </c>
      <c r="B263" s="62" t="s">
        <v>46</v>
      </c>
      <c r="C263" s="31">
        <v>6.43</v>
      </c>
      <c r="D263" s="31">
        <v>77.7</v>
      </c>
      <c r="E263" s="31">
        <v>499.0</v>
      </c>
      <c r="F263" s="64">
        <v>44454.0</v>
      </c>
      <c r="G263" s="8">
        <f t="shared" si="2"/>
        <v>-499</v>
      </c>
      <c r="I263" s="34"/>
      <c r="N263" s="49"/>
      <c r="P263" s="32">
        <v>44333.0</v>
      </c>
      <c r="Q263" s="8">
        <v>-499.0</v>
      </c>
      <c r="S263" s="49"/>
      <c r="W263" s="16"/>
    </row>
    <row r="264">
      <c r="A264" s="84" t="s">
        <v>68</v>
      </c>
      <c r="B264" s="62" t="s">
        <v>46</v>
      </c>
      <c r="C264" s="31">
        <v>26.71</v>
      </c>
      <c r="D264" s="31">
        <v>18.72</v>
      </c>
      <c r="E264" s="31">
        <v>499.0</v>
      </c>
      <c r="F264" s="64">
        <v>44454.0</v>
      </c>
      <c r="G264" s="8">
        <f t="shared" si="2"/>
        <v>-499</v>
      </c>
      <c r="I264" s="34"/>
      <c r="N264" s="49"/>
      <c r="P264" s="32">
        <v>44301.0</v>
      </c>
      <c r="Q264" s="8">
        <v>-499.0</v>
      </c>
      <c r="S264" s="49"/>
      <c r="W264" s="16"/>
    </row>
    <row r="265">
      <c r="A265" s="84" t="s">
        <v>50</v>
      </c>
      <c r="B265" s="62" t="s">
        <v>46</v>
      </c>
      <c r="C265" s="31">
        <v>20.83</v>
      </c>
      <c r="D265" s="31">
        <v>24.0</v>
      </c>
      <c r="E265" s="31">
        <v>499.0</v>
      </c>
      <c r="F265" s="64">
        <v>44454.0</v>
      </c>
      <c r="G265" s="8">
        <f t="shared" si="2"/>
        <v>-499</v>
      </c>
      <c r="I265" s="34"/>
      <c r="N265" s="49"/>
      <c r="P265" s="32">
        <v>44301.0</v>
      </c>
      <c r="Q265" s="8">
        <v>-499.0</v>
      </c>
      <c r="S265" s="49"/>
      <c r="W265" s="16"/>
    </row>
    <row r="266">
      <c r="A266" s="84" t="s">
        <v>68</v>
      </c>
      <c r="B266" s="62" t="s">
        <v>46</v>
      </c>
      <c r="C266" s="31">
        <v>28.23</v>
      </c>
      <c r="D266" s="31">
        <v>17.71</v>
      </c>
      <c r="E266" s="31">
        <v>499.0</v>
      </c>
      <c r="F266" s="64">
        <v>44424.0</v>
      </c>
      <c r="G266" s="8">
        <f t="shared" si="2"/>
        <v>-499</v>
      </c>
      <c r="I266" s="34"/>
      <c r="N266" s="49"/>
      <c r="P266" s="32">
        <v>44270.0</v>
      </c>
      <c r="Q266" s="8">
        <v>-499.0</v>
      </c>
      <c r="S266" s="49"/>
      <c r="W266" s="16"/>
    </row>
    <row r="267">
      <c r="A267" s="84" t="s">
        <v>70</v>
      </c>
      <c r="B267" s="62" t="s">
        <v>46</v>
      </c>
      <c r="C267" s="31">
        <v>7.03</v>
      </c>
      <c r="D267" s="31">
        <v>71.14</v>
      </c>
      <c r="E267" s="31">
        <v>499.0</v>
      </c>
      <c r="F267" s="64">
        <v>44424.0</v>
      </c>
      <c r="G267" s="8">
        <f t="shared" si="2"/>
        <v>-499</v>
      </c>
      <c r="I267" s="34"/>
      <c r="N267" s="49"/>
      <c r="P267" s="32">
        <v>44270.0</v>
      </c>
      <c r="Q267" s="8">
        <v>-499.0</v>
      </c>
      <c r="S267" s="49"/>
      <c r="W267" s="16"/>
    </row>
    <row r="268">
      <c r="A268" s="84" t="s">
        <v>50</v>
      </c>
      <c r="B268" s="62" t="s">
        <v>46</v>
      </c>
      <c r="C268" s="31">
        <v>20.97</v>
      </c>
      <c r="D268" s="31">
        <v>23.85</v>
      </c>
      <c r="E268" s="31">
        <v>499.0</v>
      </c>
      <c r="F268" s="64">
        <v>44424.0</v>
      </c>
      <c r="G268" s="8">
        <f t="shared" si="2"/>
        <v>-499</v>
      </c>
      <c r="I268" s="34"/>
      <c r="N268" s="49"/>
      <c r="P268" s="32">
        <v>44242.0</v>
      </c>
      <c r="Q268" s="8">
        <v>-499.0</v>
      </c>
      <c r="S268" s="49"/>
      <c r="W268" s="16"/>
    </row>
    <row r="269">
      <c r="A269" s="84" t="s">
        <v>65</v>
      </c>
      <c r="B269" s="62" t="s">
        <v>46</v>
      </c>
      <c r="C269" s="31">
        <v>5.39</v>
      </c>
      <c r="D269" s="31">
        <v>37.07</v>
      </c>
      <c r="E269" s="31">
        <v>199.0</v>
      </c>
      <c r="F269" s="64">
        <v>44420.0</v>
      </c>
      <c r="G269" s="8">
        <f t="shared" si="2"/>
        <v>-199</v>
      </c>
      <c r="I269" s="34"/>
      <c r="N269" s="49"/>
      <c r="P269" s="32">
        <v>44242.0</v>
      </c>
      <c r="Q269" s="8">
        <v>-995.0</v>
      </c>
      <c r="S269" s="49"/>
      <c r="W269" s="16"/>
    </row>
    <row r="270">
      <c r="A270" s="84" t="s">
        <v>71</v>
      </c>
      <c r="B270" s="62" t="s">
        <v>63</v>
      </c>
      <c r="C270" s="31">
        <v>3.01</v>
      </c>
      <c r="D270" s="31">
        <v>334.82</v>
      </c>
      <c r="E270" s="93">
        <v>1009.0</v>
      </c>
      <c r="F270" s="64">
        <v>44393.0</v>
      </c>
      <c r="G270" s="25">
        <f t="shared" si="2"/>
        <v>1009</v>
      </c>
      <c r="I270" s="34"/>
      <c r="J270" s="25"/>
      <c r="N270" s="49"/>
      <c r="P270" s="32">
        <v>44242.0</v>
      </c>
      <c r="Q270" s="8">
        <v>995.0</v>
      </c>
      <c r="S270" s="49"/>
      <c r="W270" s="16"/>
    </row>
    <row r="271">
      <c r="A271" s="84" t="s">
        <v>72</v>
      </c>
      <c r="B271" s="62" t="s">
        <v>61</v>
      </c>
      <c r="C271" s="31">
        <v>11.4</v>
      </c>
      <c r="D271" s="31">
        <v>88.51</v>
      </c>
      <c r="E271" s="93">
        <v>1009.0</v>
      </c>
      <c r="F271" s="64">
        <v>44393.0</v>
      </c>
      <c r="G271" s="8">
        <f t="shared" si="2"/>
        <v>-1009</v>
      </c>
      <c r="I271" s="34"/>
      <c r="N271" s="49"/>
      <c r="P271" s="32">
        <v>44242.0</v>
      </c>
      <c r="Q271" s="8">
        <v>-499.0</v>
      </c>
      <c r="S271" s="49"/>
      <c r="W271" s="16"/>
    </row>
    <row r="272">
      <c r="A272" s="84" t="s">
        <v>68</v>
      </c>
      <c r="B272" s="62" t="s">
        <v>46</v>
      </c>
      <c r="C272" s="31">
        <v>29.55</v>
      </c>
      <c r="D272" s="31">
        <v>16.92</v>
      </c>
      <c r="E272" s="31">
        <v>499.0</v>
      </c>
      <c r="F272" s="64">
        <v>44393.0</v>
      </c>
      <c r="G272" s="8">
        <f t="shared" si="2"/>
        <v>-499</v>
      </c>
      <c r="I272" s="34"/>
      <c r="N272" s="49"/>
      <c r="P272" s="32">
        <v>44211.0</v>
      </c>
      <c r="Q272" s="8">
        <v>-499.0</v>
      </c>
      <c r="S272" s="49"/>
      <c r="W272" s="16"/>
    </row>
    <row r="273">
      <c r="A273" s="84" t="s">
        <v>65</v>
      </c>
      <c r="B273" s="62" t="s">
        <v>46</v>
      </c>
      <c r="C273" s="31">
        <v>14.48</v>
      </c>
      <c r="D273" s="31">
        <v>34.54</v>
      </c>
      <c r="E273" s="31">
        <v>499.0</v>
      </c>
      <c r="F273" s="64">
        <v>44393.0</v>
      </c>
      <c r="G273" s="8">
        <f t="shared" si="2"/>
        <v>-499</v>
      </c>
      <c r="I273" s="34"/>
      <c r="N273" s="49"/>
      <c r="P273" s="32">
        <v>44208.0</v>
      </c>
      <c r="Q273" s="8">
        <v>-999.0</v>
      </c>
      <c r="S273" s="49"/>
      <c r="W273" s="16"/>
    </row>
    <row r="274">
      <c r="A274" s="84" t="s">
        <v>50</v>
      </c>
      <c r="B274" s="62" t="s">
        <v>46</v>
      </c>
      <c r="C274" s="31">
        <v>21.41</v>
      </c>
      <c r="D274" s="31">
        <v>23.35</v>
      </c>
      <c r="E274" s="31">
        <v>499.0</v>
      </c>
      <c r="F274" s="64">
        <v>44393.0</v>
      </c>
      <c r="G274" s="8">
        <f t="shared" si="2"/>
        <v>-499</v>
      </c>
      <c r="I274" s="34"/>
      <c r="N274" s="49"/>
      <c r="P274" s="32">
        <v>44181.0</v>
      </c>
      <c r="Q274" s="8">
        <v>-499.0</v>
      </c>
      <c r="S274" s="49"/>
      <c r="W274" s="16"/>
    </row>
    <row r="275">
      <c r="A275" s="84" t="s">
        <v>70</v>
      </c>
      <c r="B275" s="62" t="s">
        <v>46</v>
      </c>
      <c r="C275" s="31">
        <v>7.17</v>
      </c>
      <c r="D275" s="31">
        <v>69.71</v>
      </c>
      <c r="E275" s="31">
        <v>499.0</v>
      </c>
      <c r="F275" s="64">
        <v>44392.0</v>
      </c>
      <c r="G275" s="8">
        <f t="shared" si="2"/>
        <v>-499</v>
      </c>
      <c r="I275" s="34"/>
      <c r="N275" s="49"/>
      <c r="P275" s="32">
        <v>44180.0</v>
      </c>
      <c r="Q275" s="8">
        <v>-499.0</v>
      </c>
      <c r="S275" s="49"/>
      <c r="W275" s="16"/>
    </row>
    <row r="276">
      <c r="A276" s="84" t="s">
        <v>50</v>
      </c>
      <c r="B276" s="62" t="s">
        <v>61</v>
      </c>
      <c r="C276" s="31">
        <v>165.04</v>
      </c>
      <c r="D276" s="31">
        <v>23.21</v>
      </c>
      <c r="E276" s="93">
        <v>3830.0</v>
      </c>
      <c r="F276" s="64">
        <v>44376.0</v>
      </c>
      <c r="G276" s="8">
        <f t="shared" si="2"/>
        <v>-3830</v>
      </c>
      <c r="H276" s="61" t="s">
        <v>73</v>
      </c>
      <c r="I276" s="34"/>
      <c r="N276" s="49"/>
      <c r="P276" s="32">
        <v>44169.0</v>
      </c>
      <c r="Q276" s="8">
        <v>-499.0</v>
      </c>
      <c r="S276" s="49"/>
      <c r="W276" s="16"/>
    </row>
    <row r="277">
      <c r="A277" s="84" t="s">
        <v>74</v>
      </c>
      <c r="B277" s="62" t="s">
        <v>63</v>
      </c>
      <c r="C277" s="31">
        <v>265.72</v>
      </c>
      <c r="D277" s="31">
        <v>14.41</v>
      </c>
      <c r="E277" s="93">
        <v>3830.0</v>
      </c>
      <c r="F277" s="64">
        <v>44376.0</v>
      </c>
      <c r="G277" s="25">
        <f t="shared" si="2"/>
        <v>3830</v>
      </c>
      <c r="I277" s="34"/>
      <c r="J277" s="25"/>
      <c r="N277" s="49"/>
      <c r="P277" s="32">
        <v>44162.0</v>
      </c>
      <c r="Q277" s="8">
        <v>495.0</v>
      </c>
      <c r="S277" s="49"/>
      <c r="W277" s="16"/>
    </row>
    <row r="278">
      <c r="A278" s="84" t="s">
        <v>70</v>
      </c>
      <c r="B278" s="62" t="s">
        <v>46</v>
      </c>
      <c r="C278" s="31">
        <v>7.44</v>
      </c>
      <c r="D278" s="31">
        <v>67.22</v>
      </c>
      <c r="E278" s="31">
        <v>499.0</v>
      </c>
      <c r="F278" s="64">
        <v>44362.0</v>
      </c>
      <c r="G278" s="8">
        <f t="shared" si="2"/>
        <v>-499</v>
      </c>
      <c r="I278" s="34"/>
      <c r="N278" s="49"/>
      <c r="P278" s="32">
        <v>44152.0</v>
      </c>
      <c r="Q278" s="8">
        <v>101.0</v>
      </c>
      <c r="S278" s="49"/>
      <c r="W278" s="16"/>
    </row>
    <row r="279">
      <c r="A279" s="84" t="s">
        <v>74</v>
      </c>
      <c r="B279" s="62" t="s">
        <v>46</v>
      </c>
      <c r="C279" s="31">
        <v>35.37</v>
      </c>
      <c r="D279" s="31">
        <v>14.14</v>
      </c>
      <c r="E279" s="31">
        <v>499.0</v>
      </c>
      <c r="F279" s="64">
        <v>44362.0</v>
      </c>
      <c r="G279" s="8">
        <f t="shared" si="2"/>
        <v>-499</v>
      </c>
      <c r="I279" s="34"/>
      <c r="N279" s="49"/>
      <c r="P279" s="32">
        <v>44126.0</v>
      </c>
      <c r="Q279" s="8">
        <v>-100.0</v>
      </c>
      <c r="S279" s="49"/>
      <c r="W279" s="16"/>
    </row>
    <row r="280">
      <c r="A280" s="84" t="s">
        <v>74</v>
      </c>
      <c r="B280" s="62" t="s">
        <v>46</v>
      </c>
      <c r="C280" s="31">
        <v>36.08</v>
      </c>
      <c r="D280" s="31">
        <v>13.86</v>
      </c>
      <c r="E280" s="31">
        <v>499.0</v>
      </c>
      <c r="F280" s="91">
        <v>44333.0</v>
      </c>
      <c r="G280" s="8">
        <f t="shared" si="2"/>
        <v>-499</v>
      </c>
      <c r="I280" s="92"/>
      <c r="N280" s="49"/>
      <c r="P280" s="32">
        <v>44126.0</v>
      </c>
      <c r="Q280" s="8">
        <v>-499.0</v>
      </c>
      <c r="S280" s="49"/>
      <c r="W280" s="16"/>
    </row>
    <row r="281">
      <c r="A281" s="84" t="s">
        <v>70</v>
      </c>
      <c r="B281" s="62" t="s">
        <v>46</v>
      </c>
      <c r="C281" s="31">
        <v>8.06</v>
      </c>
      <c r="D281" s="31">
        <v>62.06</v>
      </c>
      <c r="E281" s="31">
        <v>499.0</v>
      </c>
      <c r="F281" s="91">
        <v>44333.0</v>
      </c>
      <c r="G281" s="8">
        <f t="shared" si="2"/>
        <v>-499</v>
      </c>
      <c r="I281" s="92"/>
      <c r="N281" s="49"/>
      <c r="P281" s="32">
        <v>44126.0</v>
      </c>
      <c r="Q281" s="8">
        <v>-499.0</v>
      </c>
      <c r="S281" s="49"/>
      <c r="W281" s="16"/>
    </row>
    <row r="282">
      <c r="A282" s="84" t="s">
        <v>74</v>
      </c>
      <c r="B282" s="62" t="s">
        <v>46</v>
      </c>
      <c r="C282" s="31">
        <v>35.65</v>
      </c>
      <c r="D282" s="31">
        <v>14.02</v>
      </c>
      <c r="E282" s="31">
        <v>499.0</v>
      </c>
      <c r="F282" s="64">
        <v>44301.0</v>
      </c>
      <c r="G282" s="8">
        <f t="shared" si="2"/>
        <v>-499</v>
      </c>
      <c r="I282" s="34"/>
      <c r="N282" s="49"/>
      <c r="P282" s="43">
        <f>TODAY()</f>
        <v>46048</v>
      </c>
      <c r="Q282" s="97">
        <f>K323</f>
        <v>67668.99584</v>
      </c>
      <c r="S282" s="49"/>
      <c r="W282" s="16"/>
    </row>
    <row r="283">
      <c r="A283" s="84" t="s">
        <v>70</v>
      </c>
      <c r="B283" s="62" t="s">
        <v>46</v>
      </c>
      <c r="C283" s="31">
        <v>8.41</v>
      </c>
      <c r="D283" s="31">
        <v>59.47</v>
      </c>
      <c r="E283" s="31">
        <v>499.0</v>
      </c>
      <c r="F283" s="64">
        <v>44301.0</v>
      </c>
      <c r="G283" s="8">
        <f t="shared" si="2"/>
        <v>-499</v>
      </c>
      <c r="I283" s="34"/>
      <c r="N283" s="49"/>
      <c r="P283" s="9"/>
      <c r="S283" s="49"/>
      <c r="W283" s="16"/>
    </row>
    <row r="284">
      <c r="A284" s="84" t="s">
        <v>70</v>
      </c>
      <c r="B284" s="62" t="s">
        <v>46</v>
      </c>
      <c r="C284" s="31">
        <v>8.17</v>
      </c>
      <c r="D284" s="31">
        <v>61.23</v>
      </c>
      <c r="E284" s="31">
        <v>499.0</v>
      </c>
      <c r="F284" s="64">
        <v>44270.0</v>
      </c>
      <c r="G284" s="8">
        <f t="shared" si="2"/>
        <v>-499</v>
      </c>
      <c r="I284" s="34"/>
      <c r="N284" s="49"/>
      <c r="P284" s="9"/>
      <c r="S284" s="49"/>
      <c r="W284" s="16"/>
    </row>
    <row r="285">
      <c r="A285" s="84" t="s">
        <v>74</v>
      </c>
      <c r="B285" s="62" t="s">
        <v>46</v>
      </c>
      <c r="C285" s="31">
        <v>38.6</v>
      </c>
      <c r="D285" s="31">
        <v>12.95</v>
      </c>
      <c r="E285" s="31">
        <v>499.0</v>
      </c>
      <c r="F285" s="64">
        <v>44270.0</v>
      </c>
      <c r="G285" s="8">
        <f t="shared" si="2"/>
        <v>-499</v>
      </c>
      <c r="I285" s="34"/>
      <c r="N285" s="49"/>
      <c r="P285" s="45" t="s">
        <v>28</v>
      </c>
      <c r="Q285" s="46">
        <f>XIRR(Q14:Q282,P14:P282)</f>
        <v>0.1202031448</v>
      </c>
      <c r="S285" s="49"/>
      <c r="W285" s="16"/>
    </row>
    <row r="286">
      <c r="A286" s="84" t="s">
        <v>70</v>
      </c>
      <c r="B286" s="62" t="s">
        <v>46</v>
      </c>
      <c r="C286" s="31">
        <v>8.35</v>
      </c>
      <c r="D286" s="31">
        <v>59.91</v>
      </c>
      <c r="E286" s="31">
        <v>499.0</v>
      </c>
      <c r="F286" s="64">
        <v>44242.0</v>
      </c>
      <c r="G286" s="8">
        <f t="shared" si="2"/>
        <v>-499</v>
      </c>
      <c r="I286" s="34"/>
      <c r="L286" s="9"/>
      <c r="N286" s="49"/>
      <c r="S286" s="49"/>
      <c r="W286" s="16"/>
    </row>
    <row r="287">
      <c r="A287" s="84" t="s">
        <v>75</v>
      </c>
      <c r="B287" s="62" t="s">
        <v>46</v>
      </c>
      <c r="C287" s="31">
        <v>3.01</v>
      </c>
      <c r="D287" s="31">
        <v>330.18</v>
      </c>
      <c r="E287" s="31">
        <v>995.0</v>
      </c>
      <c r="F287" s="64">
        <v>44242.0</v>
      </c>
      <c r="G287" s="8">
        <f t="shared" si="2"/>
        <v>-995</v>
      </c>
      <c r="I287" s="34"/>
      <c r="L287" s="9"/>
      <c r="N287" s="49"/>
      <c r="S287" s="49"/>
      <c r="W287" s="16"/>
    </row>
    <row r="288">
      <c r="A288" s="84" t="s">
        <v>76</v>
      </c>
      <c r="B288" s="62" t="s">
        <v>49</v>
      </c>
      <c r="C288" s="31">
        <v>11.56</v>
      </c>
      <c r="D288" s="31">
        <v>86.06</v>
      </c>
      <c r="E288" s="31">
        <v>995.0</v>
      </c>
      <c r="F288" s="64">
        <v>44242.0</v>
      </c>
      <c r="G288" s="8">
        <f t="shared" si="2"/>
        <v>995</v>
      </c>
      <c r="I288" s="34"/>
      <c r="L288" s="9"/>
      <c r="N288" s="49"/>
      <c r="S288" s="49"/>
      <c r="W288" s="16"/>
    </row>
    <row r="289">
      <c r="A289" s="84" t="s">
        <v>77</v>
      </c>
      <c r="B289" s="62" t="s">
        <v>46</v>
      </c>
      <c r="C289" s="31">
        <v>38.65</v>
      </c>
      <c r="D289" s="31">
        <v>12.94</v>
      </c>
      <c r="E289" s="31">
        <v>499.0</v>
      </c>
      <c r="F289" s="64">
        <v>44242.0</v>
      </c>
      <c r="G289" s="8">
        <f t="shared" si="2"/>
        <v>-499</v>
      </c>
      <c r="I289" s="34"/>
      <c r="L289" s="9"/>
      <c r="N289" s="49"/>
      <c r="S289" s="49"/>
      <c r="W289" s="16"/>
    </row>
    <row r="290">
      <c r="A290" s="84" t="s">
        <v>70</v>
      </c>
      <c r="B290" s="62" t="s">
        <v>46</v>
      </c>
      <c r="C290" s="31">
        <v>8.9</v>
      </c>
      <c r="D290" s="31">
        <v>56.2</v>
      </c>
      <c r="E290" s="31">
        <v>499.0</v>
      </c>
      <c r="F290" s="64">
        <v>44211.0</v>
      </c>
      <c r="G290" s="8">
        <f t="shared" si="2"/>
        <v>-499</v>
      </c>
      <c r="I290" s="34"/>
      <c r="L290" s="9"/>
      <c r="N290" s="49"/>
      <c r="S290" s="49"/>
      <c r="W290" s="16"/>
    </row>
    <row r="291">
      <c r="A291" s="84" t="s">
        <v>76</v>
      </c>
      <c r="B291" s="62" t="s">
        <v>46</v>
      </c>
      <c r="C291" s="31">
        <v>11.56</v>
      </c>
      <c r="D291" s="31">
        <v>86.48</v>
      </c>
      <c r="E291" s="31">
        <v>999.0</v>
      </c>
      <c r="F291" s="64">
        <v>44208.0</v>
      </c>
      <c r="G291" s="8">
        <f t="shared" si="2"/>
        <v>-999</v>
      </c>
      <c r="I291" s="34"/>
      <c r="L291" s="9"/>
      <c r="N291" s="49"/>
      <c r="S291" s="49"/>
      <c r="W291" s="16"/>
    </row>
    <row r="292">
      <c r="A292" s="84" t="s">
        <v>77</v>
      </c>
      <c r="B292" s="62" t="s">
        <v>46</v>
      </c>
      <c r="C292" s="31">
        <v>40.57</v>
      </c>
      <c r="D292" s="31">
        <v>12.32</v>
      </c>
      <c r="E292" s="31">
        <v>499.0</v>
      </c>
      <c r="F292" s="64">
        <v>44181.0</v>
      </c>
      <c r="G292" s="8">
        <f t="shared" si="2"/>
        <v>-499</v>
      </c>
      <c r="I292" s="34"/>
      <c r="L292" s="9"/>
      <c r="N292" s="49"/>
      <c r="S292" s="49"/>
      <c r="W292" s="16"/>
    </row>
    <row r="293">
      <c r="A293" s="84" t="s">
        <v>70</v>
      </c>
      <c r="B293" s="62" t="s">
        <v>46</v>
      </c>
      <c r="C293" s="31">
        <v>9.3</v>
      </c>
      <c r="D293" s="31">
        <v>53.76</v>
      </c>
      <c r="E293" s="31">
        <v>499.0</v>
      </c>
      <c r="F293" s="64">
        <v>44180.0</v>
      </c>
      <c r="G293" s="8">
        <f t="shared" si="2"/>
        <v>-499</v>
      </c>
      <c r="L293" s="9"/>
      <c r="N293" s="49"/>
      <c r="S293" s="49"/>
      <c r="W293" s="16"/>
    </row>
    <row r="294">
      <c r="A294" s="84" t="s">
        <v>77</v>
      </c>
      <c r="B294" s="62" t="s">
        <v>46</v>
      </c>
      <c r="C294" s="31">
        <v>40.81</v>
      </c>
      <c r="D294" s="31">
        <v>12.25</v>
      </c>
      <c r="E294" s="31">
        <v>499.0</v>
      </c>
      <c r="F294" s="94">
        <v>44169.0</v>
      </c>
      <c r="G294" s="8">
        <f t="shared" si="2"/>
        <v>-499</v>
      </c>
      <c r="L294" s="9"/>
      <c r="N294" s="49"/>
      <c r="S294" s="49"/>
      <c r="W294" s="16"/>
    </row>
    <row r="295">
      <c r="A295" s="84" t="s">
        <v>78</v>
      </c>
      <c r="B295" s="62" t="s">
        <v>49</v>
      </c>
      <c r="C295" s="31">
        <v>22.38</v>
      </c>
      <c r="D295" s="31">
        <v>22.16</v>
      </c>
      <c r="E295" s="31">
        <v>495.0</v>
      </c>
      <c r="F295" s="64">
        <v>44162.0</v>
      </c>
      <c r="G295" s="8">
        <f t="shared" si="2"/>
        <v>495</v>
      </c>
      <c r="L295" s="9"/>
      <c r="N295" s="49"/>
      <c r="S295" s="49"/>
      <c r="W295" s="16"/>
    </row>
    <row r="296">
      <c r="A296" s="84" t="s">
        <v>79</v>
      </c>
      <c r="B296" s="62" t="s">
        <v>49</v>
      </c>
      <c r="C296" s="31">
        <v>1.1</v>
      </c>
      <c r="D296" s="31">
        <v>91.63</v>
      </c>
      <c r="E296" s="31">
        <v>101.0</v>
      </c>
      <c r="F296" s="64">
        <v>44152.0</v>
      </c>
      <c r="G296" s="8">
        <f t="shared" si="2"/>
        <v>101</v>
      </c>
      <c r="I296" s="98"/>
      <c r="L296" s="9"/>
      <c r="N296" s="49"/>
      <c r="S296" s="49"/>
      <c r="W296" s="16"/>
    </row>
    <row r="297">
      <c r="A297" s="84" t="s">
        <v>79</v>
      </c>
      <c r="B297" s="62" t="s">
        <v>46</v>
      </c>
      <c r="C297" s="31">
        <v>1.1</v>
      </c>
      <c r="D297" s="31">
        <v>90.46</v>
      </c>
      <c r="E297" s="31">
        <v>100.0</v>
      </c>
      <c r="F297" s="64">
        <v>44126.0</v>
      </c>
      <c r="G297" s="8">
        <f t="shared" si="2"/>
        <v>-100</v>
      </c>
      <c r="I297" s="98"/>
      <c r="L297" s="9"/>
      <c r="N297" s="49"/>
      <c r="S297" s="49"/>
      <c r="W297" s="16"/>
    </row>
    <row r="298">
      <c r="A298" s="84" t="s">
        <v>78</v>
      </c>
      <c r="B298" s="62" t="s">
        <v>46</v>
      </c>
      <c r="C298" s="31">
        <v>22.38</v>
      </c>
      <c r="D298" s="31">
        <v>22.34</v>
      </c>
      <c r="E298" s="31">
        <v>499.0</v>
      </c>
      <c r="F298" s="64">
        <v>44126.0</v>
      </c>
      <c r="G298" s="8">
        <f t="shared" si="2"/>
        <v>-499</v>
      </c>
      <c r="I298" s="34"/>
      <c r="L298" s="9"/>
      <c r="N298" s="49"/>
      <c r="S298" s="49"/>
      <c r="W298" s="16"/>
    </row>
    <row r="299">
      <c r="A299" s="84" t="s">
        <v>70</v>
      </c>
      <c r="B299" s="62" t="s">
        <v>46</v>
      </c>
      <c r="C299" s="31">
        <v>10.67</v>
      </c>
      <c r="D299" s="31">
        <v>46.84</v>
      </c>
      <c r="E299" s="31">
        <v>499.0</v>
      </c>
      <c r="F299" s="64">
        <v>44126.0</v>
      </c>
      <c r="G299" s="8">
        <f t="shared" si="2"/>
        <v>-499</v>
      </c>
      <c r="I299" s="34"/>
      <c r="L299" s="9"/>
      <c r="N299" s="49"/>
      <c r="S299" s="49"/>
    </row>
    <row r="300">
      <c r="A300" s="99" t="s">
        <v>18</v>
      </c>
      <c r="B300" s="100"/>
      <c r="F300" s="101">
        <f>TODAY()</f>
        <v>46048</v>
      </c>
      <c r="G300" s="102">
        <f>K323</f>
        <v>67668.99584</v>
      </c>
      <c r="H300" s="8">
        <f>SUMIFS(E30:E299, B30:B299, "PURCHASE") + SUMIFS(E30:E299, B30:B299, "SWITCH PURCHASE") - SUMIFS(E30:E299, B30:B299, "REDEEM") - SUMIFS(E30:E299, B30:B299, "SWITCH REDEEM")</f>
        <v>34903</v>
      </c>
      <c r="I300" s="99" t="s">
        <v>80</v>
      </c>
      <c r="J300" s="17"/>
      <c r="L300" s="9"/>
      <c r="N300" s="49"/>
      <c r="S300" s="49"/>
      <c r="V300" s="75"/>
      <c r="W300" s="75"/>
      <c r="X300" s="75"/>
      <c r="Y300" s="75"/>
      <c r="Z300" s="75"/>
      <c r="AA300" s="75"/>
      <c r="AB300" s="75"/>
      <c r="AC300" s="75"/>
    </row>
    <row r="301">
      <c r="B301" s="100"/>
      <c r="L301" s="9"/>
      <c r="N301" s="49"/>
      <c r="S301" s="49"/>
      <c r="T301" s="75"/>
      <c r="V301" s="75"/>
      <c r="W301" s="75"/>
      <c r="X301" s="75"/>
      <c r="Y301" s="75"/>
      <c r="Z301" s="75"/>
      <c r="AA301" s="75"/>
      <c r="AB301" s="75"/>
      <c r="AC301" s="75"/>
    </row>
    <row r="302" ht="40.5" customHeight="1">
      <c r="A302" s="49"/>
      <c r="B302" s="103"/>
      <c r="C302" s="49"/>
      <c r="D302" s="49"/>
      <c r="E302" s="49"/>
      <c r="F302" s="49"/>
      <c r="G302" s="49"/>
      <c r="H302" s="49"/>
      <c r="I302" s="49"/>
      <c r="J302" s="49"/>
      <c r="K302" s="49"/>
      <c r="L302" s="104"/>
      <c r="M302" s="49"/>
      <c r="N302" s="49"/>
      <c r="O302" s="49"/>
      <c r="P302" s="49"/>
      <c r="Q302" s="49"/>
      <c r="R302" s="49"/>
      <c r="S302" s="49"/>
      <c r="T302" s="75"/>
      <c r="V302" s="75"/>
      <c r="W302" s="105"/>
      <c r="X302" s="75"/>
      <c r="Y302" s="75"/>
      <c r="Z302" s="75"/>
      <c r="AA302" s="75"/>
      <c r="AB302" s="75"/>
      <c r="AC302" s="75"/>
    </row>
    <row r="303">
      <c r="B303" s="100"/>
      <c r="L303" s="9"/>
      <c r="N303" s="49"/>
      <c r="S303" s="49"/>
      <c r="T303" s="75"/>
      <c r="V303" s="75"/>
      <c r="W303" s="106"/>
      <c r="X303" s="75"/>
      <c r="Y303" s="75"/>
      <c r="Z303" s="75"/>
      <c r="AA303" s="75"/>
      <c r="AB303" s="75"/>
      <c r="AC303" s="75"/>
    </row>
    <row r="304">
      <c r="B304" s="100"/>
      <c r="L304" s="9"/>
      <c r="N304" s="49"/>
      <c r="S304" s="49"/>
      <c r="W304" s="16"/>
    </row>
    <row r="305">
      <c r="A305" s="107" t="s">
        <v>81</v>
      </c>
      <c r="B305" s="108"/>
      <c r="C305" s="109"/>
      <c r="D305" s="109"/>
      <c r="E305" s="109"/>
      <c r="F305" s="109"/>
      <c r="G305" s="109"/>
      <c r="H305" s="109"/>
      <c r="I305" s="109"/>
      <c r="J305" s="109"/>
      <c r="K305" s="109"/>
      <c r="L305" s="110"/>
      <c r="M305" s="109"/>
      <c r="N305" s="111"/>
      <c r="S305" s="49"/>
      <c r="W305" s="16"/>
    </row>
    <row r="306">
      <c r="A306" s="109"/>
      <c r="B306" s="108"/>
      <c r="C306" s="109"/>
      <c r="D306" s="109"/>
      <c r="E306" s="109"/>
      <c r="F306" s="109"/>
      <c r="G306" s="109"/>
      <c r="H306" s="109"/>
      <c r="I306" s="109"/>
      <c r="J306" s="109"/>
      <c r="K306" s="109"/>
      <c r="L306" s="110"/>
      <c r="M306" s="109"/>
      <c r="N306" s="111"/>
      <c r="S306" s="49"/>
    </row>
    <row r="307">
      <c r="A307" s="109"/>
      <c r="B307" s="108"/>
      <c r="C307" s="109"/>
      <c r="D307" s="109"/>
      <c r="E307" s="109"/>
      <c r="F307" s="109"/>
      <c r="G307" s="109"/>
      <c r="H307" s="109"/>
      <c r="I307" s="109"/>
      <c r="J307" s="109"/>
      <c r="K307" s="109"/>
      <c r="L307" s="110"/>
      <c r="M307" s="109"/>
      <c r="N307" s="111"/>
      <c r="S307" s="49"/>
    </row>
    <row r="308">
      <c r="A308" s="112" t="s">
        <v>82</v>
      </c>
      <c r="B308" s="112" t="s">
        <v>83</v>
      </c>
      <c r="C308" s="113" t="s">
        <v>84</v>
      </c>
      <c r="D308" s="113" t="s">
        <v>28</v>
      </c>
      <c r="G308" s="109"/>
      <c r="H308" s="109"/>
      <c r="I308" s="109"/>
      <c r="J308" s="109"/>
      <c r="K308" s="109"/>
      <c r="L308" s="110"/>
      <c r="M308" s="109"/>
      <c r="N308" s="111"/>
      <c r="S308" s="49"/>
    </row>
    <row r="309">
      <c r="A309" s="8">
        <f>SUMIFS(E30:E299, B30:B299, "PURCHASE") - SUM(E287, E99, E85, E84, E83, E77, E76, E66, E65)
</f>
        <v>99758</v>
      </c>
      <c r="B309" s="8">
        <f>H300</f>
        <v>34903</v>
      </c>
      <c r="C309" s="114">
        <f>K323</f>
        <v>67668.99584</v>
      </c>
      <c r="D309" s="115">
        <f>XIRR(G30:G300,F30:F300)</f>
        <v>0.1530552906</v>
      </c>
      <c r="E309" s="18"/>
      <c r="G309" s="109"/>
      <c r="H309" s="109"/>
      <c r="I309" s="109"/>
      <c r="J309" s="109"/>
      <c r="K309" s="109"/>
      <c r="L309" s="110"/>
      <c r="M309" s="109"/>
      <c r="N309" s="111"/>
      <c r="S309" s="49"/>
    </row>
    <row r="310">
      <c r="C310" s="109"/>
      <c r="D310" s="109"/>
      <c r="E310" s="109"/>
      <c r="G310" s="109"/>
      <c r="H310" s="109"/>
      <c r="I310" s="109"/>
      <c r="J310" s="109"/>
      <c r="K310" s="109"/>
      <c r="L310" s="110"/>
      <c r="M310" s="109"/>
      <c r="N310" s="111"/>
      <c r="S310" s="49"/>
    </row>
    <row r="311">
      <c r="C311" s="109"/>
      <c r="D311" s="109"/>
      <c r="E311" s="109"/>
      <c r="F311" s="109"/>
      <c r="G311" s="109"/>
      <c r="H311" s="109"/>
      <c r="I311" s="109"/>
      <c r="J311" s="109"/>
      <c r="K311" s="109"/>
      <c r="L311" s="110"/>
      <c r="M311" s="109"/>
      <c r="N311" s="111"/>
      <c r="S311" s="49"/>
    </row>
    <row r="312">
      <c r="C312" s="109"/>
      <c r="D312" s="109"/>
      <c r="E312" s="109"/>
      <c r="F312" s="109"/>
      <c r="G312" s="109"/>
      <c r="H312" s="109"/>
      <c r="I312" s="109"/>
      <c r="J312" s="109"/>
      <c r="K312" s="109"/>
      <c r="L312" s="110"/>
      <c r="M312" s="109"/>
      <c r="N312" s="111"/>
      <c r="S312" s="49"/>
    </row>
    <row r="313">
      <c r="A313" s="107" t="s">
        <v>85</v>
      </c>
      <c r="B313" s="116">
        <f>TODAY()</f>
        <v>46048</v>
      </c>
      <c r="C313" s="107"/>
      <c r="D313" s="116"/>
      <c r="E313" s="109"/>
      <c r="F313" s="109"/>
      <c r="G313" s="109"/>
      <c r="H313" s="109"/>
      <c r="I313" s="109"/>
      <c r="J313" s="109"/>
      <c r="K313" s="109"/>
      <c r="L313" s="110"/>
      <c r="M313" s="109"/>
      <c r="N313" s="111"/>
      <c r="S313" s="49"/>
    </row>
    <row r="314">
      <c r="A314" s="109"/>
      <c r="B314" s="108"/>
      <c r="C314" s="109"/>
      <c r="D314" s="109"/>
      <c r="E314" s="109"/>
      <c r="F314" s="109"/>
      <c r="G314" s="109"/>
      <c r="H314" s="109"/>
      <c r="I314" s="109"/>
      <c r="J314" s="109"/>
      <c r="K314" s="109"/>
      <c r="L314" s="110"/>
      <c r="M314" s="109"/>
      <c r="N314" s="111"/>
      <c r="S314" s="49"/>
    </row>
    <row r="315">
      <c r="A315" s="109"/>
      <c r="B315" s="108"/>
      <c r="C315" s="109"/>
      <c r="D315" s="109"/>
      <c r="E315" s="109"/>
      <c r="F315" s="109"/>
      <c r="G315" s="109"/>
      <c r="H315" s="109"/>
      <c r="I315" s="109"/>
      <c r="J315" s="109"/>
      <c r="K315" s="109"/>
      <c r="L315" s="110"/>
      <c r="M315" s="109"/>
      <c r="N315" s="111"/>
      <c r="S315" s="49"/>
    </row>
    <row r="316" ht="22.5" customHeight="1">
      <c r="A316" s="117" t="s">
        <v>38</v>
      </c>
      <c r="B316" s="118" t="s">
        <v>86</v>
      </c>
      <c r="C316" s="117" t="s">
        <v>87</v>
      </c>
      <c r="D316" s="117" t="s">
        <v>88</v>
      </c>
      <c r="E316" s="117" t="s">
        <v>89</v>
      </c>
      <c r="F316" s="119" t="s">
        <v>90</v>
      </c>
      <c r="G316" s="117" t="s">
        <v>41</v>
      </c>
      <c r="H316" s="117" t="s">
        <v>91</v>
      </c>
      <c r="I316" s="117" t="s">
        <v>40</v>
      </c>
      <c r="J316" s="117" t="s">
        <v>13</v>
      </c>
      <c r="K316" s="117" t="s">
        <v>92</v>
      </c>
      <c r="L316" s="117" t="s">
        <v>28</v>
      </c>
      <c r="N316" s="111"/>
      <c r="S316" s="49"/>
    </row>
    <row r="317" ht="22.5" customHeight="1">
      <c r="A317" s="120"/>
      <c r="B317" s="121"/>
      <c r="C317" s="120"/>
      <c r="D317" s="120"/>
      <c r="E317" s="120"/>
      <c r="F317" s="120"/>
      <c r="G317" s="120"/>
      <c r="H317" s="120"/>
      <c r="I317" s="120"/>
      <c r="J317" s="120"/>
      <c r="K317" s="122"/>
      <c r="L317" s="123"/>
      <c r="N317" s="111"/>
      <c r="S317" s="49"/>
    </row>
    <row r="318" ht="22.5" customHeight="1">
      <c r="A318" s="124" t="s">
        <v>45</v>
      </c>
      <c r="B318" s="125" t="s">
        <v>93</v>
      </c>
      <c r="C318" s="126" t="s">
        <v>94</v>
      </c>
      <c r="D318" s="126" t="s">
        <v>95</v>
      </c>
      <c r="E318" s="126" t="s">
        <v>96</v>
      </c>
      <c r="F318" s="127" t="s">
        <v>97</v>
      </c>
      <c r="G318" s="128">
        <f>IFERROR(__xludf.DUMMYFUNCTION("GOOGLEFINANCE(B318)"),24.28)</f>
        <v>24.28</v>
      </c>
      <c r="H318" s="129" t="s">
        <v>98</v>
      </c>
      <c r="I318" s="127">
        <f> 1283.959 + I313</f>
        <v>1283.959</v>
      </c>
      <c r="J318" s="127">
        <f> 31028.55 + J313</f>
        <v>31028.55</v>
      </c>
      <c r="K318" s="130">
        <f t="shared" ref="K318:K321" si="3">G318*I318</f>
        <v>31174.52452</v>
      </c>
      <c r="L318" s="131">
        <f>'MF CAS'!G356</f>
        <v>0.004528206961</v>
      </c>
      <c r="N318" s="111"/>
      <c r="S318" s="49"/>
    </row>
    <row r="319" ht="22.5" customHeight="1">
      <c r="A319" s="124" t="s">
        <v>47</v>
      </c>
      <c r="B319" s="125" t="s">
        <v>99</v>
      </c>
      <c r="C319" s="126" t="s">
        <v>100</v>
      </c>
      <c r="D319" s="126" t="s">
        <v>95</v>
      </c>
      <c r="E319" s="126" t="s">
        <v>101</v>
      </c>
      <c r="F319" s="126">
        <v>5.77367428086E11</v>
      </c>
      <c r="G319" s="128">
        <f>IFERROR(__xludf.DUMMYFUNCTION("GOOGLEFINANCE(B319)"),20.88)</f>
        <v>20.88</v>
      </c>
      <c r="H319" s="129" t="s">
        <v>98</v>
      </c>
      <c r="I319" s="127">
        <v>1229.017</v>
      </c>
      <c r="J319" s="127">
        <v>29098.6</v>
      </c>
      <c r="K319" s="130">
        <f t="shared" si="3"/>
        <v>25661.87496</v>
      </c>
      <c r="L319" s="131">
        <f>'MF CAS'!G382</f>
        <v>-0.09576627777</v>
      </c>
      <c r="N319" s="111"/>
      <c r="S319" s="49"/>
    </row>
    <row r="320" ht="22.5" customHeight="1">
      <c r="A320" s="129" t="s">
        <v>62</v>
      </c>
      <c r="B320" s="132" t="s">
        <v>102</v>
      </c>
      <c r="C320" s="129" t="s">
        <v>103</v>
      </c>
      <c r="D320" s="126" t="s">
        <v>95</v>
      </c>
      <c r="E320" s="126" t="s">
        <v>104</v>
      </c>
      <c r="F320" s="128">
        <v>9.1021123724E10</v>
      </c>
      <c r="G320" s="128">
        <f>IFERROR(__xludf.DUMMYFUNCTION("GOOGLEFINANCE(B320)"),50.24)</f>
        <v>50.24</v>
      </c>
      <c r="H320" s="129" t="s">
        <v>98</v>
      </c>
      <c r="I320" s="127">
        <v>144.836</v>
      </c>
      <c r="J320" s="127">
        <v>4999.78</v>
      </c>
      <c r="K320" s="130">
        <f t="shared" si="3"/>
        <v>7276.56064</v>
      </c>
      <c r="L320" s="131">
        <f>'MF CAS'!G267</f>
        <v>0.1851054576</v>
      </c>
      <c r="N320" s="111"/>
      <c r="S320" s="49"/>
    </row>
    <row r="321" ht="22.5" customHeight="1">
      <c r="A321" s="129" t="s">
        <v>48</v>
      </c>
      <c r="B321" s="132" t="s">
        <v>105</v>
      </c>
      <c r="C321" s="129" t="s">
        <v>106</v>
      </c>
      <c r="D321" s="129" t="s">
        <v>107</v>
      </c>
      <c r="E321" s="129" t="s">
        <v>108</v>
      </c>
      <c r="F321" s="128">
        <v>2.1255898E7</v>
      </c>
      <c r="G321" s="128">
        <f>IFERROR(__xludf.DUMMYFUNCTION("GOOGLEFINANCE(B321)"),34.11)</f>
        <v>34.11</v>
      </c>
      <c r="H321" s="129" t="s">
        <v>98</v>
      </c>
      <c r="I321" s="127">
        <v>104.252</v>
      </c>
      <c r="J321" s="127">
        <v>3499.88</v>
      </c>
      <c r="K321" s="130">
        <f t="shared" si="3"/>
        <v>3556.03572</v>
      </c>
      <c r="L321" s="131">
        <f>'MF CAS'!G96</f>
        <v>0.08837502716</v>
      </c>
      <c r="N321" s="111"/>
      <c r="S321" s="49"/>
    </row>
    <row r="322">
      <c r="B322" s="133"/>
      <c r="C322" s="134"/>
      <c r="D322" s="134"/>
      <c r="E322" s="134"/>
      <c r="F322" s="135"/>
      <c r="G322" s="135"/>
      <c r="H322" s="134"/>
      <c r="I322" s="135"/>
      <c r="J322" s="135"/>
      <c r="K322" s="114"/>
      <c r="L322" s="136"/>
      <c r="N322" s="111"/>
      <c r="S322" s="49"/>
    </row>
    <row r="323">
      <c r="A323" s="99" t="s">
        <v>18</v>
      </c>
      <c r="J323" s="8">
        <f t="shared" ref="J323:K323" si="4">SUM(J318:J321)</f>
        <v>68626.81</v>
      </c>
      <c r="K323" s="17">
        <f t="shared" si="4"/>
        <v>67668.99584</v>
      </c>
      <c r="N323" s="111"/>
      <c r="S323" s="49"/>
    </row>
    <row r="324">
      <c r="A324" s="31"/>
      <c r="C324" s="31"/>
      <c r="D324" s="31"/>
      <c r="E324" s="31"/>
      <c r="F324" s="31"/>
      <c r="H324" s="31"/>
      <c r="I324" s="37"/>
      <c r="J324" s="31"/>
      <c r="K324" s="31"/>
      <c r="L324" s="136"/>
      <c r="N324" s="111"/>
      <c r="S324" s="49"/>
    </row>
    <row r="325">
      <c r="A325" s="31"/>
      <c r="C325" s="31"/>
      <c r="D325" s="31"/>
      <c r="E325" s="31"/>
      <c r="F325" s="31"/>
      <c r="H325" s="31"/>
      <c r="I325" s="37"/>
      <c r="J325" s="31"/>
      <c r="K325" s="31"/>
      <c r="N325" s="111"/>
      <c r="S325" s="49"/>
    </row>
    <row r="326">
      <c r="A326" s="31"/>
      <c r="C326" s="31"/>
      <c r="D326" s="31"/>
      <c r="E326" s="31"/>
      <c r="F326" s="31"/>
      <c r="H326" s="31"/>
      <c r="I326" s="37"/>
      <c r="J326" s="31"/>
      <c r="K326" s="31"/>
      <c r="L326" s="18"/>
      <c r="N326" s="111"/>
      <c r="S326" s="49"/>
    </row>
    <row r="327">
      <c r="A327" s="31"/>
      <c r="C327" s="31"/>
      <c r="D327" s="31"/>
      <c r="E327" s="31"/>
      <c r="F327" s="31"/>
      <c r="H327" s="31"/>
      <c r="I327" s="37"/>
      <c r="J327" s="31"/>
      <c r="K327" s="31"/>
      <c r="L327" s="137"/>
      <c r="M327" s="109"/>
      <c r="N327" s="111"/>
      <c r="S327" s="49"/>
    </row>
    <row r="328">
      <c r="B328" s="108"/>
      <c r="C328" s="109"/>
      <c r="D328" s="109"/>
      <c r="E328" s="109"/>
      <c r="F328" s="109"/>
      <c r="G328" s="109"/>
      <c r="H328" s="109"/>
      <c r="I328" s="37"/>
      <c r="J328" s="31"/>
      <c r="K328" s="109"/>
      <c r="L328" s="110"/>
      <c r="M328" s="109"/>
      <c r="N328" s="111"/>
      <c r="S328" s="49"/>
    </row>
    <row r="329">
      <c r="A329" s="138" t="s">
        <v>109</v>
      </c>
      <c r="B329" s="139" t="s">
        <v>110</v>
      </c>
      <c r="D329" s="140" t="s">
        <v>111</v>
      </c>
      <c r="E329" s="140" t="s">
        <v>112</v>
      </c>
      <c r="H329" s="109"/>
      <c r="I329" s="37"/>
      <c r="J329" s="31"/>
      <c r="K329" s="31"/>
      <c r="L329" s="110"/>
      <c r="M329" s="109"/>
      <c r="N329" s="111"/>
      <c r="S329" s="49"/>
    </row>
    <row r="330">
      <c r="A330" s="27" t="s">
        <v>113</v>
      </c>
      <c r="B330" s="141">
        <f>C330/ ( $K$323 +'Stocks Transaction'!I49)</f>
        <v>0.5834221446</v>
      </c>
      <c r="C330" s="17">
        <f>SUM(K318:K319)</f>
        <v>56836.39948</v>
      </c>
      <c r="D330" s="142">
        <v>0.5</v>
      </c>
      <c r="E330" s="18">
        <f t="shared" ref="E330:E332" si="5">-(B330-D330)</f>
        <v>-0.08342214462</v>
      </c>
      <c r="F330" s="8">
        <f>E330* ( $K$323 + 'Stocks Transaction'!I49 )</f>
        <v>-8126.90156</v>
      </c>
      <c r="I330" s="37"/>
      <c r="J330" s="31"/>
      <c r="K330" s="31"/>
      <c r="L330" s="110"/>
      <c r="M330" s="109"/>
      <c r="N330" s="111"/>
      <c r="S330" s="49"/>
    </row>
    <row r="331">
      <c r="A331" s="27" t="s">
        <v>104</v>
      </c>
      <c r="B331" s="141">
        <f>C331/ ( $K$323 +'Stocks Transaction'!I49)</f>
        <v>0.3800753674</v>
      </c>
      <c r="C331" s="17">
        <f>K320 + 'Stocks Transaction'!I49</f>
        <v>37026.56064</v>
      </c>
      <c r="D331" s="142">
        <v>0.3</v>
      </c>
      <c r="E331" s="18">
        <f t="shared" si="5"/>
        <v>-0.08007536744</v>
      </c>
      <c r="F331" s="8">
        <f>E331* ( $K$323 + 'Stocks Transaction'!I49 )</f>
        <v>-7800.861888</v>
      </c>
      <c r="I331" s="37"/>
      <c r="J331" s="31"/>
      <c r="K331" s="31"/>
      <c r="L331" s="110"/>
      <c r="M331" s="109"/>
      <c r="N331" s="111"/>
      <c r="S331" s="49"/>
    </row>
    <row r="332">
      <c r="A332" s="27" t="s">
        <v>107</v>
      </c>
      <c r="B332" s="141">
        <f>C332/ ( $K$323 +'Stocks Transaction'!I49)</f>
        <v>0.03650248793</v>
      </c>
      <c r="C332" s="17">
        <f>K321</f>
        <v>3556.03572</v>
      </c>
      <c r="D332" s="142">
        <v>0.2</v>
      </c>
      <c r="E332" s="18">
        <f t="shared" si="5"/>
        <v>0.1634975121</v>
      </c>
      <c r="F332" s="8">
        <f>E332* ( $K$323 + 'Stocks Transaction'!I49 )</f>
        <v>15927.76345</v>
      </c>
      <c r="I332" s="37"/>
      <c r="J332" s="31"/>
      <c r="K332" s="31"/>
      <c r="L332" s="110"/>
      <c r="M332" s="109"/>
      <c r="N332" s="111"/>
      <c r="S332" s="49"/>
    </row>
    <row r="333">
      <c r="B333" s="100"/>
      <c r="I333" s="109"/>
      <c r="J333" s="109"/>
      <c r="K333" s="109"/>
      <c r="L333" s="110"/>
      <c r="M333" s="109"/>
      <c r="N333" s="111"/>
      <c r="S333" s="49"/>
    </row>
    <row r="334">
      <c r="A334" s="49"/>
      <c r="B334" s="103"/>
      <c r="C334" s="49"/>
      <c r="D334" s="49"/>
      <c r="E334" s="49"/>
      <c r="F334" s="49"/>
      <c r="G334" s="49"/>
      <c r="H334" s="49"/>
      <c r="I334" s="111"/>
      <c r="J334" s="111"/>
      <c r="K334" s="111"/>
      <c r="L334" s="143"/>
      <c r="M334" s="111"/>
      <c r="N334" s="111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</row>
    <row r="335">
      <c r="A335" s="49"/>
      <c r="B335" s="103"/>
      <c r="C335" s="49"/>
      <c r="D335" s="49"/>
      <c r="E335" s="49"/>
      <c r="F335" s="49"/>
      <c r="G335" s="49"/>
      <c r="H335" s="49"/>
      <c r="I335" s="111"/>
      <c r="J335" s="111"/>
      <c r="K335" s="111"/>
      <c r="L335" s="143"/>
      <c r="M335" s="111"/>
      <c r="N335" s="111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</row>
    <row r="336">
      <c r="A336" s="49"/>
      <c r="B336" s="103"/>
      <c r="C336" s="49"/>
      <c r="D336" s="49"/>
      <c r="E336" s="49"/>
      <c r="F336" s="49"/>
      <c r="G336" s="49"/>
      <c r="H336" s="49"/>
      <c r="I336" s="111"/>
      <c r="J336" s="111"/>
      <c r="K336" s="111"/>
      <c r="L336" s="143"/>
      <c r="M336" s="111"/>
      <c r="N336" s="111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</row>
    <row r="337">
      <c r="B337" s="100"/>
      <c r="I337" s="109"/>
      <c r="J337" s="109"/>
      <c r="K337" s="109"/>
      <c r="L337" s="110"/>
      <c r="M337" s="109"/>
      <c r="N337" s="111"/>
      <c r="S337" s="49"/>
    </row>
    <row r="338">
      <c r="A338" s="144" t="s">
        <v>114</v>
      </c>
      <c r="C338" s="144" t="s">
        <v>115</v>
      </c>
      <c r="K338" s="145"/>
      <c r="N338" s="49"/>
      <c r="S338" s="49"/>
    </row>
    <row r="339">
      <c r="G339" s="37"/>
      <c r="H339" s="31"/>
      <c r="I339" s="31"/>
      <c r="J339" s="37"/>
      <c r="K339" s="146"/>
      <c r="L339" s="110"/>
      <c r="M339" s="109"/>
      <c r="N339" s="111"/>
      <c r="S339" s="49"/>
    </row>
    <row r="340">
      <c r="G340" s="37"/>
      <c r="H340" s="31"/>
      <c r="I340" s="31"/>
      <c r="J340" s="37"/>
      <c r="K340" s="146"/>
      <c r="L340" s="9"/>
      <c r="N340" s="49"/>
      <c r="S340" s="49"/>
    </row>
    <row r="341">
      <c r="G341" s="37"/>
      <c r="H341" s="31"/>
      <c r="I341" s="31"/>
      <c r="J341" s="37"/>
      <c r="K341" s="146"/>
      <c r="L341" s="110"/>
      <c r="M341" s="109"/>
      <c r="N341" s="111"/>
      <c r="S341" s="49"/>
    </row>
    <row r="342">
      <c r="G342" s="37"/>
      <c r="H342" s="31"/>
      <c r="I342" s="31"/>
      <c r="J342" s="37"/>
      <c r="K342" s="146"/>
      <c r="L342" s="9"/>
      <c r="N342" s="49"/>
      <c r="S342" s="49"/>
    </row>
    <row r="343">
      <c r="L343" s="9"/>
      <c r="N343" s="49"/>
      <c r="S343" s="49"/>
    </row>
    <row r="344">
      <c r="L344" s="9"/>
      <c r="N344" s="49"/>
      <c r="S344" s="49"/>
    </row>
    <row r="345">
      <c r="L345" s="9"/>
      <c r="N345" s="49"/>
      <c r="S345" s="49"/>
    </row>
    <row r="346">
      <c r="A346" s="134"/>
      <c r="B346" s="134"/>
      <c r="C346" s="135"/>
      <c r="D346" s="147"/>
      <c r="E346" s="148"/>
      <c r="F346" s="149"/>
      <c r="L346" s="9"/>
      <c r="N346" s="49"/>
      <c r="S346" s="49"/>
    </row>
    <row r="347">
      <c r="A347" s="134"/>
      <c r="B347" s="134"/>
      <c r="C347" s="114"/>
      <c r="D347" s="135"/>
      <c r="E347" s="135"/>
      <c r="F347" s="149"/>
      <c r="L347" s="9"/>
      <c r="N347" s="49"/>
      <c r="S347" s="49"/>
    </row>
    <row r="348">
      <c r="A348" s="134"/>
      <c r="B348" s="134"/>
      <c r="C348" s="114"/>
      <c r="D348" s="135"/>
      <c r="E348" s="135"/>
      <c r="F348" s="149"/>
      <c r="L348" s="9"/>
      <c r="N348" s="49"/>
      <c r="S348" s="49"/>
    </row>
    <row r="349">
      <c r="A349" s="134"/>
      <c r="B349" s="134"/>
      <c r="C349" s="135"/>
      <c r="D349" s="135"/>
      <c r="E349" s="148"/>
      <c r="F349" s="149"/>
      <c r="L349" s="9"/>
      <c r="N349" s="49"/>
      <c r="S349" s="49"/>
    </row>
    <row r="350">
      <c r="A350" s="134"/>
      <c r="B350" s="134"/>
      <c r="C350" s="135"/>
      <c r="D350" s="135"/>
      <c r="E350" s="148"/>
      <c r="F350" s="149"/>
      <c r="L350" s="9"/>
      <c r="N350" s="49"/>
      <c r="S350" s="49"/>
    </row>
    <row r="351">
      <c r="A351" s="134"/>
      <c r="B351" s="134"/>
      <c r="C351" s="135"/>
      <c r="D351" s="135"/>
      <c r="E351" s="148"/>
      <c r="F351" s="149"/>
      <c r="L351" s="9"/>
      <c r="N351" s="49"/>
      <c r="S351" s="49"/>
    </row>
    <row r="352">
      <c r="A352" s="134"/>
      <c r="B352" s="134"/>
      <c r="C352" s="135"/>
      <c r="D352" s="135"/>
      <c r="E352" s="148"/>
      <c r="F352" s="149"/>
      <c r="L352" s="9"/>
      <c r="N352" s="49"/>
      <c r="S352" s="49"/>
    </row>
    <row r="353">
      <c r="A353" s="150"/>
      <c r="B353" s="150"/>
      <c r="C353" s="147"/>
      <c r="D353" s="147"/>
      <c r="E353" s="148"/>
      <c r="F353" s="149"/>
      <c r="L353" s="9"/>
      <c r="N353" s="49"/>
      <c r="S353" s="49"/>
    </row>
    <row r="354">
      <c r="A354" s="134"/>
      <c r="B354" s="134"/>
      <c r="C354" s="135"/>
      <c r="D354" s="135"/>
      <c r="E354" s="135"/>
      <c r="F354" s="149"/>
      <c r="L354" s="9"/>
      <c r="N354" s="49"/>
      <c r="S354" s="49"/>
    </row>
    <row r="355">
      <c r="L355" s="9"/>
      <c r="N355" s="49"/>
      <c r="S355" s="49"/>
    </row>
    <row r="356">
      <c r="A356" s="134"/>
      <c r="B356" s="150"/>
      <c r="C356" s="135"/>
      <c r="D356" s="135"/>
      <c r="E356" s="148"/>
      <c r="F356" s="151"/>
      <c r="L356" s="9"/>
      <c r="N356" s="49"/>
      <c r="S356" s="49"/>
    </row>
    <row r="357">
      <c r="B357" s="57"/>
      <c r="L357" s="9"/>
      <c r="N357" s="49"/>
      <c r="S357" s="49"/>
    </row>
    <row r="358">
      <c r="A358" s="134"/>
      <c r="B358" s="134"/>
      <c r="C358" s="135"/>
      <c r="D358" s="147"/>
      <c r="E358" s="135"/>
      <c r="F358" s="149"/>
      <c r="L358" s="9"/>
      <c r="N358" s="49"/>
      <c r="S358" s="49"/>
    </row>
    <row r="359">
      <c r="A359" s="134"/>
      <c r="B359" s="134"/>
      <c r="C359" s="135"/>
      <c r="D359" s="135"/>
      <c r="E359" s="135"/>
      <c r="F359" s="149"/>
      <c r="L359" s="9"/>
      <c r="N359" s="49"/>
      <c r="S359" s="49"/>
    </row>
    <row r="360">
      <c r="L360" s="9"/>
      <c r="N360" s="49"/>
      <c r="S360" s="49"/>
    </row>
    <row r="361">
      <c r="A361" s="152"/>
      <c r="B361" s="152"/>
      <c r="C361" s="83"/>
      <c r="D361" s="80"/>
      <c r="E361" s="81"/>
      <c r="F361" s="80"/>
      <c r="L361" s="9"/>
      <c r="N361" s="49"/>
      <c r="S361" s="49"/>
    </row>
    <row r="362">
      <c r="A362" s="134"/>
      <c r="B362" s="134"/>
      <c r="C362" s="114"/>
      <c r="D362" s="135"/>
      <c r="E362" s="135"/>
      <c r="F362" s="149"/>
      <c r="L362" s="9"/>
      <c r="N362" s="49"/>
      <c r="S362" s="49"/>
    </row>
    <row r="363">
      <c r="K363" s="145"/>
      <c r="L363" s="9"/>
      <c r="N363" s="49"/>
      <c r="S363" s="49"/>
    </row>
    <row r="364">
      <c r="B364" s="100"/>
      <c r="L364" s="9"/>
      <c r="N364" s="49"/>
      <c r="S364" s="49"/>
    </row>
    <row r="365">
      <c r="B365" s="100"/>
      <c r="L365" s="9"/>
      <c r="N365" s="49"/>
      <c r="S365" s="49"/>
    </row>
    <row r="366">
      <c r="B366" s="100"/>
      <c r="L366" s="9"/>
      <c r="N366" s="49"/>
      <c r="S366" s="49"/>
    </row>
    <row r="367">
      <c r="B367" s="100"/>
      <c r="L367" s="9"/>
      <c r="N367" s="49"/>
      <c r="S367" s="49"/>
    </row>
    <row r="368">
      <c r="K368" s="145"/>
      <c r="L368" s="9"/>
      <c r="N368" s="49"/>
      <c r="S368" s="49"/>
    </row>
    <row r="369">
      <c r="K369" s="145"/>
      <c r="L369" s="9"/>
      <c r="N369" s="49"/>
      <c r="S369" s="49"/>
    </row>
    <row r="370">
      <c r="K370" s="145"/>
      <c r="L370" s="9"/>
      <c r="N370" s="49"/>
      <c r="S370" s="49"/>
    </row>
    <row r="371">
      <c r="K371" s="145"/>
      <c r="L371" s="9"/>
      <c r="N371" s="49"/>
      <c r="S371" s="49"/>
    </row>
    <row r="372">
      <c r="B372" s="100"/>
      <c r="L372" s="9"/>
      <c r="N372" s="49"/>
      <c r="S372" s="49"/>
    </row>
    <row r="373">
      <c r="B373" s="100"/>
      <c r="L373" s="9"/>
      <c r="N373" s="49"/>
      <c r="S373" s="49"/>
    </row>
    <row r="374">
      <c r="B374" s="100"/>
      <c r="L374" s="9"/>
      <c r="N374" s="49"/>
      <c r="S374" s="49"/>
    </row>
    <row r="375">
      <c r="B375" s="100"/>
      <c r="L375" s="9"/>
      <c r="N375" s="49"/>
      <c r="S375" s="49"/>
    </row>
    <row r="376">
      <c r="B376" s="100"/>
      <c r="L376" s="9"/>
      <c r="N376" s="49"/>
      <c r="S376" s="49"/>
    </row>
    <row r="377">
      <c r="B377" s="100"/>
      <c r="L377" s="9"/>
      <c r="N377" s="49"/>
      <c r="S377" s="49"/>
    </row>
    <row r="378">
      <c r="B378" s="100"/>
      <c r="L378" s="9"/>
      <c r="N378" s="49"/>
      <c r="S378" s="49"/>
    </row>
    <row r="379">
      <c r="B379" s="100"/>
      <c r="L379" s="9"/>
      <c r="N379" s="49"/>
      <c r="S379" s="49"/>
    </row>
    <row r="380">
      <c r="B380" s="100"/>
      <c r="L380" s="9"/>
      <c r="N380" s="49"/>
      <c r="S380" s="49"/>
    </row>
    <row r="381">
      <c r="B381" s="100"/>
      <c r="L381" s="9"/>
      <c r="N381" s="49"/>
      <c r="S381" s="49"/>
    </row>
    <row r="382">
      <c r="B382" s="100"/>
      <c r="L382" s="9"/>
      <c r="N382" s="49"/>
      <c r="S382" s="49"/>
    </row>
    <row r="383">
      <c r="B383" s="100"/>
      <c r="L383" s="9"/>
      <c r="N383" s="49"/>
      <c r="S383" s="49"/>
    </row>
    <row r="384">
      <c r="B384" s="100"/>
      <c r="L384" s="9"/>
      <c r="N384" s="49"/>
      <c r="S384" s="49"/>
    </row>
    <row r="385">
      <c r="B385" s="100"/>
      <c r="L385" s="9"/>
      <c r="N385" s="49"/>
      <c r="S385" s="49"/>
    </row>
    <row r="386">
      <c r="B386" s="100"/>
      <c r="L386" s="9"/>
      <c r="N386" s="49"/>
      <c r="S386" s="49"/>
    </row>
    <row r="387">
      <c r="B387" s="100"/>
      <c r="L387" s="9"/>
      <c r="N387" s="49"/>
      <c r="S387" s="49"/>
    </row>
    <row r="388">
      <c r="B388" s="100"/>
      <c r="L388" s="9"/>
      <c r="N388" s="49"/>
      <c r="S388" s="49"/>
    </row>
    <row r="389">
      <c r="B389" s="100"/>
      <c r="L389" s="9"/>
      <c r="N389" s="49"/>
      <c r="S389" s="49"/>
    </row>
    <row r="390">
      <c r="B390" s="100"/>
      <c r="L390" s="9"/>
      <c r="N390" s="49"/>
      <c r="S390" s="49"/>
    </row>
    <row r="391">
      <c r="B391" s="100"/>
      <c r="L391" s="9"/>
      <c r="N391" s="49"/>
      <c r="S391" s="49"/>
    </row>
    <row r="392">
      <c r="B392" s="100"/>
      <c r="L392" s="9"/>
      <c r="N392" s="49"/>
      <c r="S392" s="49"/>
    </row>
    <row r="393">
      <c r="B393" s="100"/>
      <c r="L393" s="9"/>
      <c r="N393" s="49"/>
      <c r="S393" s="49"/>
    </row>
    <row r="394">
      <c r="B394" s="100"/>
      <c r="L394" s="9"/>
      <c r="N394" s="49"/>
      <c r="S394" s="49"/>
    </row>
    <row r="395">
      <c r="B395" s="100"/>
      <c r="L395" s="9"/>
      <c r="N395" s="49"/>
      <c r="S395" s="49"/>
    </row>
    <row r="396">
      <c r="B396" s="100"/>
      <c r="L396" s="9"/>
      <c r="N396" s="49"/>
      <c r="S396" s="49"/>
    </row>
    <row r="397">
      <c r="B397" s="100"/>
      <c r="L397" s="9"/>
      <c r="N397" s="49"/>
      <c r="S397" s="49"/>
    </row>
    <row r="398">
      <c r="B398" s="100"/>
      <c r="L398" s="9"/>
      <c r="N398" s="49"/>
      <c r="S398" s="49"/>
    </row>
    <row r="399">
      <c r="B399" s="100"/>
      <c r="L399" s="9"/>
      <c r="N399" s="49"/>
      <c r="S399" s="49"/>
    </row>
    <row r="400">
      <c r="B400" s="100"/>
      <c r="L400" s="9"/>
      <c r="N400" s="49"/>
      <c r="S400" s="49"/>
    </row>
    <row r="401">
      <c r="B401" s="100"/>
      <c r="L401" s="9"/>
      <c r="N401" s="49"/>
      <c r="S401" s="49"/>
    </row>
    <row r="402">
      <c r="B402" s="100"/>
      <c r="L402" s="9"/>
      <c r="N402" s="49"/>
      <c r="S402" s="49"/>
    </row>
    <row r="403">
      <c r="B403" s="100"/>
      <c r="L403" s="9"/>
      <c r="N403" s="49"/>
      <c r="S403" s="49"/>
    </row>
    <row r="404">
      <c r="B404" s="100"/>
      <c r="L404" s="9"/>
      <c r="N404" s="49"/>
      <c r="S404" s="49"/>
    </row>
    <row r="405">
      <c r="B405" s="100"/>
      <c r="L405" s="9"/>
      <c r="N405" s="49"/>
      <c r="S405" s="49"/>
    </row>
    <row r="406">
      <c r="B406" s="100"/>
      <c r="L406" s="9"/>
      <c r="N406" s="49"/>
      <c r="S406" s="49"/>
    </row>
    <row r="407">
      <c r="B407" s="100"/>
      <c r="L407" s="9"/>
      <c r="N407" s="49"/>
      <c r="S407" s="49"/>
    </row>
    <row r="408">
      <c r="B408" s="100"/>
      <c r="L408" s="9"/>
      <c r="N408" s="49"/>
      <c r="S408" s="49"/>
    </row>
    <row r="409">
      <c r="B409" s="100"/>
      <c r="L409" s="9"/>
      <c r="N409" s="49"/>
      <c r="S409" s="49"/>
    </row>
    <row r="410">
      <c r="B410" s="100"/>
      <c r="L410" s="9"/>
      <c r="N410" s="49"/>
      <c r="S410" s="49"/>
    </row>
    <row r="411">
      <c r="B411" s="100"/>
      <c r="L411" s="9"/>
      <c r="N411" s="49"/>
      <c r="S411" s="49"/>
    </row>
    <row r="412">
      <c r="B412" s="100"/>
      <c r="L412" s="9"/>
      <c r="N412" s="49"/>
      <c r="S412" s="49"/>
    </row>
    <row r="413">
      <c r="B413" s="100"/>
      <c r="L413" s="9"/>
      <c r="N413" s="49"/>
      <c r="S413" s="49"/>
    </row>
    <row r="414">
      <c r="B414" s="100"/>
      <c r="L414" s="9"/>
      <c r="N414" s="49"/>
      <c r="S414" s="49"/>
    </row>
    <row r="415">
      <c r="B415" s="100"/>
      <c r="L415" s="9"/>
      <c r="N415" s="49"/>
      <c r="S415" s="49"/>
    </row>
    <row r="416">
      <c r="B416" s="100"/>
      <c r="L416" s="9"/>
      <c r="N416" s="49"/>
      <c r="S416" s="49"/>
    </row>
    <row r="417">
      <c r="B417" s="100"/>
      <c r="L417" s="9"/>
      <c r="N417" s="49"/>
      <c r="S417" s="49"/>
    </row>
    <row r="418">
      <c r="B418" s="100"/>
      <c r="L418" s="9"/>
      <c r="N418" s="49"/>
      <c r="S418" s="49"/>
    </row>
    <row r="419">
      <c r="B419" s="100"/>
      <c r="L419" s="9"/>
      <c r="N419" s="49"/>
      <c r="S419" s="49"/>
    </row>
    <row r="420">
      <c r="B420" s="100"/>
      <c r="L420" s="9"/>
      <c r="N420" s="49"/>
      <c r="S420" s="49"/>
    </row>
    <row r="421">
      <c r="B421" s="100"/>
      <c r="L421" s="9"/>
      <c r="N421" s="49"/>
      <c r="S421" s="49"/>
    </row>
    <row r="422">
      <c r="B422" s="100"/>
      <c r="L422" s="9"/>
      <c r="N422" s="49"/>
      <c r="S422" s="49"/>
    </row>
    <row r="423">
      <c r="B423" s="100"/>
      <c r="L423" s="9"/>
      <c r="N423" s="49"/>
      <c r="S423" s="49"/>
    </row>
    <row r="424">
      <c r="B424" s="100"/>
      <c r="L424" s="9"/>
      <c r="N424" s="49"/>
      <c r="S424" s="49"/>
    </row>
    <row r="425">
      <c r="B425" s="100"/>
      <c r="L425" s="9"/>
      <c r="N425" s="49"/>
      <c r="S425" s="49"/>
    </row>
    <row r="426">
      <c r="B426" s="100"/>
      <c r="L426" s="9"/>
      <c r="N426" s="49"/>
      <c r="S426" s="49"/>
    </row>
    <row r="427">
      <c r="B427" s="100"/>
      <c r="L427" s="9"/>
      <c r="N427" s="49"/>
      <c r="S427" s="49"/>
    </row>
    <row r="428">
      <c r="B428" s="100"/>
      <c r="L428" s="9"/>
      <c r="N428" s="49"/>
      <c r="S428" s="49"/>
    </row>
    <row r="429">
      <c r="B429" s="100"/>
      <c r="L429" s="9"/>
      <c r="N429" s="49"/>
      <c r="S429" s="49"/>
    </row>
    <row r="430">
      <c r="B430" s="100"/>
      <c r="L430" s="9"/>
      <c r="N430" s="49"/>
      <c r="S430" s="49"/>
    </row>
    <row r="431">
      <c r="B431" s="100"/>
      <c r="L431" s="9"/>
      <c r="N431" s="49"/>
      <c r="S431" s="49"/>
    </row>
    <row r="432">
      <c r="B432" s="100"/>
      <c r="L432" s="9"/>
      <c r="N432" s="49"/>
      <c r="S432" s="49"/>
    </row>
    <row r="433">
      <c r="B433" s="100"/>
      <c r="L433" s="9"/>
      <c r="N433" s="49"/>
      <c r="S433" s="49"/>
    </row>
    <row r="434">
      <c r="B434" s="100"/>
      <c r="L434" s="9"/>
      <c r="N434" s="49"/>
      <c r="S434" s="49"/>
    </row>
    <row r="435">
      <c r="B435" s="100"/>
      <c r="L435" s="9"/>
      <c r="N435" s="49"/>
      <c r="S435" s="49"/>
    </row>
    <row r="436">
      <c r="B436" s="100"/>
      <c r="L436" s="9"/>
      <c r="N436" s="49"/>
      <c r="S436" s="49"/>
    </row>
    <row r="437">
      <c r="B437" s="100"/>
      <c r="L437" s="9"/>
      <c r="N437" s="49"/>
      <c r="S437" s="49"/>
    </row>
    <row r="438">
      <c r="B438" s="100"/>
      <c r="L438" s="9"/>
      <c r="N438" s="49"/>
      <c r="S438" s="49"/>
    </row>
    <row r="439">
      <c r="B439" s="100"/>
      <c r="L439" s="9"/>
      <c r="N439" s="49"/>
      <c r="S439" s="49"/>
    </row>
    <row r="440">
      <c r="B440" s="100"/>
      <c r="L440" s="9"/>
      <c r="N440" s="49"/>
      <c r="S440" s="49"/>
    </row>
    <row r="441">
      <c r="B441" s="100"/>
      <c r="L441" s="9"/>
      <c r="N441" s="49"/>
      <c r="S441" s="49"/>
    </row>
    <row r="442">
      <c r="B442" s="100"/>
      <c r="L442" s="9"/>
      <c r="N442" s="49"/>
      <c r="S442" s="49"/>
    </row>
    <row r="443">
      <c r="B443" s="100"/>
      <c r="L443" s="9"/>
      <c r="N443" s="49"/>
      <c r="S443" s="49"/>
    </row>
    <row r="444">
      <c r="B444" s="100"/>
      <c r="L444" s="9"/>
      <c r="N444" s="49"/>
      <c r="S444" s="49"/>
    </row>
    <row r="445">
      <c r="B445" s="100"/>
      <c r="L445" s="9"/>
      <c r="N445" s="49"/>
      <c r="S445" s="49"/>
    </row>
    <row r="446">
      <c r="B446" s="100"/>
      <c r="L446" s="9"/>
      <c r="N446" s="49"/>
      <c r="S446" s="49"/>
    </row>
    <row r="447">
      <c r="B447" s="100"/>
      <c r="L447" s="9"/>
      <c r="N447" s="49"/>
      <c r="S447" s="49"/>
    </row>
    <row r="448">
      <c r="B448" s="100"/>
      <c r="L448" s="9"/>
      <c r="N448" s="49"/>
      <c r="S448" s="49"/>
    </row>
    <row r="449">
      <c r="B449" s="100"/>
      <c r="L449" s="9"/>
      <c r="N449" s="49"/>
      <c r="S449" s="49"/>
    </row>
    <row r="450">
      <c r="B450" s="100"/>
      <c r="L450" s="9"/>
      <c r="N450" s="49"/>
      <c r="S450" s="49"/>
    </row>
    <row r="451">
      <c r="B451" s="100"/>
      <c r="L451" s="9"/>
      <c r="N451" s="49"/>
      <c r="S451" s="49"/>
    </row>
    <row r="452">
      <c r="B452" s="100"/>
      <c r="L452" s="9"/>
      <c r="N452" s="49"/>
      <c r="S452" s="49"/>
    </row>
    <row r="453">
      <c r="B453" s="100"/>
      <c r="L453" s="9"/>
      <c r="N453" s="49"/>
      <c r="S453" s="49"/>
    </row>
    <row r="454">
      <c r="B454" s="100"/>
      <c r="L454" s="9"/>
      <c r="N454" s="49"/>
      <c r="S454" s="49"/>
    </row>
    <row r="455">
      <c r="B455" s="100"/>
      <c r="L455" s="9"/>
      <c r="N455" s="49"/>
      <c r="S455" s="49"/>
    </row>
    <row r="456">
      <c r="B456" s="100"/>
      <c r="L456" s="9"/>
      <c r="N456" s="49"/>
      <c r="S456" s="49"/>
    </row>
    <row r="457">
      <c r="B457" s="100"/>
      <c r="L457" s="9"/>
      <c r="N457" s="49"/>
      <c r="S457" s="49"/>
    </row>
    <row r="458">
      <c r="B458" s="100"/>
      <c r="L458" s="9"/>
      <c r="N458" s="49"/>
      <c r="S458" s="49"/>
    </row>
    <row r="459">
      <c r="B459" s="100"/>
      <c r="L459" s="9"/>
      <c r="N459" s="49"/>
      <c r="S459" s="49"/>
    </row>
    <row r="460">
      <c r="B460" s="100"/>
      <c r="L460" s="9"/>
      <c r="N460" s="49"/>
      <c r="S460" s="49"/>
    </row>
    <row r="461">
      <c r="B461" s="100"/>
      <c r="L461" s="9"/>
      <c r="N461" s="49"/>
      <c r="S461" s="49"/>
    </row>
    <row r="462">
      <c r="B462" s="100"/>
      <c r="L462" s="9"/>
      <c r="N462" s="49"/>
      <c r="S462" s="49"/>
    </row>
    <row r="463">
      <c r="B463" s="100"/>
      <c r="L463" s="9"/>
      <c r="N463" s="49"/>
      <c r="S463" s="49"/>
    </row>
    <row r="464">
      <c r="B464" s="100"/>
      <c r="L464" s="9"/>
      <c r="N464" s="49"/>
      <c r="S464" s="49"/>
    </row>
    <row r="465">
      <c r="B465" s="100"/>
      <c r="L465" s="9"/>
      <c r="N465" s="49"/>
      <c r="S465" s="49"/>
    </row>
    <row r="466">
      <c r="B466" s="100"/>
      <c r="L466" s="9"/>
      <c r="N466" s="49"/>
      <c r="S466" s="49"/>
    </row>
    <row r="467">
      <c r="B467" s="100"/>
      <c r="L467" s="9"/>
      <c r="N467" s="49"/>
      <c r="S467" s="49"/>
    </row>
    <row r="468">
      <c r="B468" s="100"/>
      <c r="L468" s="9"/>
      <c r="N468" s="49"/>
      <c r="S468" s="49"/>
    </row>
    <row r="469">
      <c r="B469" s="100"/>
      <c r="L469" s="9"/>
      <c r="N469" s="49"/>
      <c r="S469" s="49"/>
    </row>
    <row r="470">
      <c r="B470" s="100"/>
      <c r="L470" s="9"/>
      <c r="N470" s="49"/>
      <c r="S470" s="49"/>
    </row>
    <row r="471">
      <c r="B471" s="100"/>
      <c r="L471" s="9"/>
      <c r="N471" s="49"/>
      <c r="S471" s="49"/>
    </row>
    <row r="472">
      <c r="B472" s="100"/>
      <c r="L472" s="9"/>
      <c r="N472" s="49"/>
      <c r="S472" s="49"/>
    </row>
    <row r="473">
      <c r="B473" s="100"/>
      <c r="L473" s="9"/>
      <c r="N473" s="49"/>
      <c r="S473" s="49"/>
    </row>
    <row r="474">
      <c r="B474" s="100"/>
      <c r="L474" s="9"/>
      <c r="N474" s="49"/>
      <c r="S474" s="49"/>
    </row>
    <row r="475">
      <c r="B475" s="100"/>
      <c r="L475" s="9"/>
      <c r="N475" s="49"/>
      <c r="S475" s="49"/>
    </row>
    <row r="476">
      <c r="B476" s="100"/>
      <c r="L476" s="9"/>
      <c r="N476" s="49"/>
      <c r="S476" s="49"/>
    </row>
    <row r="477">
      <c r="B477" s="100"/>
      <c r="L477" s="9"/>
      <c r="N477" s="49"/>
      <c r="S477" s="49"/>
    </row>
    <row r="478">
      <c r="B478" s="100"/>
      <c r="L478" s="9"/>
      <c r="N478" s="49"/>
      <c r="S478" s="49"/>
    </row>
    <row r="479">
      <c r="B479" s="100"/>
      <c r="L479" s="9"/>
      <c r="N479" s="49"/>
      <c r="S479" s="49"/>
    </row>
    <row r="480">
      <c r="B480" s="100"/>
      <c r="L480" s="9"/>
      <c r="N480" s="49"/>
      <c r="S480" s="49"/>
    </row>
    <row r="481">
      <c r="B481" s="100"/>
      <c r="L481" s="9"/>
      <c r="N481" s="49"/>
      <c r="S481" s="49"/>
    </row>
    <row r="482">
      <c r="B482" s="100"/>
      <c r="L482" s="9"/>
      <c r="N482" s="49"/>
      <c r="S482" s="49"/>
    </row>
    <row r="483">
      <c r="B483" s="100"/>
      <c r="L483" s="9"/>
      <c r="N483" s="49"/>
      <c r="S483" s="49"/>
    </row>
    <row r="484">
      <c r="B484" s="100"/>
      <c r="L484" s="9"/>
      <c r="N484" s="49"/>
      <c r="S484" s="49"/>
    </row>
    <row r="485">
      <c r="B485" s="100"/>
      <c r="L485" s="9"/>
      <c r="N485" s="49"/>
      <c r="S485" s="49"/>
    </row>
    <row r="486">
      <c r="B486" s="100"/>
      <c r="L486" s="9"/>
      <c r="N486" s="49"/>
      <c r="S486" s="49"/>
    </row>
    <row r="487">
      <c r="B487" s="100"/>
      <c r="L487" s="9"/>
      <c r="N487" s="49"/>
      <c r="S487" s="49"/>
    </row>
    <row r="488">
      <c r="B488" s="100"/>
      <c r="L488" s="9"/>
      <c r="N488" s="49"/>
      <c r="S488" s="49"/>
    </row>
    <row r="489">
      <c r="B489" s="100"/>
      <c r="L489" s="9"/>
      <c r="N489" s="49"/>
      <c r="S489" s="49"/>
    </row>
    <row r="490">
      <c r="B490" s="100"/>
      <c r="L490" s="9"/>
      <c r="N490" s="49"/>
      <c r="S490" s="49"/>
    </row>
    <row r="491">
      <c r="B491" s="100"/>
      <c r="L491" s="9"/>
      <c r="N491" s="49"/>
      <c r="S491" s="49"/>
    </row>
    <row r="492">
      <c r="B492" s="100"/>
      <c r="L492" s="9"/>
      <c r="N492" s="49"/>
      <c r="S492" s="49"/>
    </row>
    <row r="493">
      <c r="B493" s="100"/>
      <c r="L493" s="9"/>
      <c r="N493" s="49"/>
      <c r="S493" s="49"/>
    </row>
    <row r="494">
      <c r="B494" s="100"/>
      <c r="L494" s="9"/>
      <c r="N494" s="49"/>
      <c r="S494" s="49"/>
    </row>
    <row r="495">
      <c r="B495" s="100"/>
      <c r="L495" s="9"/>
      <c r="N495" s="49"/>
      <c r="S495" s="49"/>
    </row>
    <row r="496">
      <c r="B496" s="100"/>
      <c r="L496" s="9"/>
      <c r="N496" s="49"/>
      <c r="S496" s="49"/>
    </row>
    <row r="497">
      <c r="B497" s="100"/>
      <c r="L497" s="9"/>
      <c r="N497" s="49"/>
      <c r="S497" s="49"/>
    </row>
    <row r="498">
      <c r="B498" s="100"/>
      <c r="L498" s="9"/>
      <c r="N498" s="49"/>
      <c r="S498" s="49"/>
    </row>
    <row r="499">
      <c r="B499" s="100"/>
      <c r="L499" s="9"/>
      <c r="N499" s="49"/>
      <c r="S499" s="49"/>
    </row>
    <row r="500">
      <c r="B500" s="100"/>
      <c r="L500" s="9"/>
      <c r="N500" s="49"/>
      <c r="S500" s="49"/>
    </row>
    <row r="501">
      <c r="B501" s="100"/>
      <c r="L501" s="9"/>
      <c r="N501" s="49"/>
      <c r="S501" s="49"/>
    </row>
    <row r="502">
      <c r="B502" s="100"/>
      <c r="L502" s="9"/>
      <c r="N502" s="49"/>
      <c r="S502" s="49"/>
    </row>
    <row r="503">
      <c r="B503" s="100"/>
      <c r="L503" s="9"/>
      <c r="N503" s="49"/>
      <c r="S503" s="49"/>
    </row>
    <row r="504">
      <c r="B504" s="100"/>
      <c r="L504" s="9"/>
      <c r="N504" s="49"/>
      <c r="S504" s="49"/>
    </row>
    <row r="505">
      <c r="B505" s="100"/>
      <c r="L505" s="9"/>
      <c r="N505" s="49"/>
      <c r="S505" s="49"/>
    </row>
    <row r="506">
      <c r="B506" s="100"/>
      <c r="L506" s="9"/>
      <c r="N506" s="49"/>
      <c r="S506" s="49"/>
    </row>
    <row r="507">
      <c r="B507" s="100"/>
      <c r="L507" s="9"/>
      <c r="N507" s="49"/>
      <c r="S507" s="49"/>
    </row>
    <row r="508">
      <c r="B508" s="100"/>
      <c r="L508" s="9"/>
      <c r="N508" s="49"/>
      <c r="S508" s="49"/>
    </row>
    <row r="509">
      <c r="B509" s="100"/>
      <c r="L509" s="9"/>
      <c r="N509" s="49"/>
      <c r="S509" s="49"/>
    </row>
    <row r="510">
      <c r="B510" s="100"/>
      <c r="L510" s="9"/>
      <c r="N510" s="49"/>
      <c r="S510" s="49"/>
    </row>
    <row r="511">
      <c r="B511" s="100"/>
      <c r="L511" s="9"/>
      <c r="N511" s="49"/>
      <c r="S511" s="49"/>
    </row>
    <row r="512">
      <c r="B512" s="100"/>
      <c r="L512" s="9"/>
      <c r="N512" s="49"/>
      <c r="S512" s="49"/>
    </row>
    <row r="513">
      <c r="B513" s="100"/>
      <c r="L513" s="9"/>
      <c r="N513" s="49"/>
      <c r="S513" s="49"/>
    </row>
    <row r="514">
      <c r="B514" s="100"/>
      <c r="L514" s="9"/>
      <c r="N514" s="49"/>
      <c r="S514" s="49"/>
    </row>
    <row r="515">
      <c r="B515" s="100"/>
      <c r="L515" s="9"/>
      <c r="N515" s="49"/>
      <c r="S515" s="49"/>
    </row>
    <row r="516">
      <c r="B516" s="100"/>
      <c r="L516" s="9"/>
      <c r="N516" s="49"/>
      <c r="S516" s="49"/>
    </row>
    <row r="517">
      <c r="B517" s="100"/>
      <c r="L517" s="9"/>
      <c r="N517" s="49"/>
      <c r="S517" s="49"/>
    </row>
    <row r="518">
      <c r="B518" s="100"/>
      <c r="L518" s="9"/>
      <c r="N518" s="49"/>
      <c r="S518" s="49"/>
    </row>
    <row r="519">
      <c r="B519" s="100"/>
      <c r="L519" s="9"/>
      <c r="N519" s="49"/>
      <c r="S519" s="49"/>
    </row>
    <row r="520">
      <c r="B520" s="100"/>
      <c r="L520" s="9"/>
      <c r="N520" s="49"/>
      <c r="S520" s="49"/>
    </row>
    <row r="521">
      <c r="B521" s="100"/>
      <c r="L521" s="9"/>
      <c r="N521" s="49"/>
      <c r="S521" s="49"/>
    </row>
    <row r="522">
      <c r="B522" s="100"/>
      <c r="L522" s="9"/>
      <c r="N522" s="49"/>
      <c r="S522" s="49"/>
    </row>
    <row r="523">
      <c r="B523" s="100"/>
      <c r="L523" s="9"/>
      <c r="N523" s="49"/>
      <c r="S523" s="49"/>
    </row>
    <row r="524">
      <c r="B524" s="100"/>
      <c r="L524" s="9"/>
      <c r="N524" s="49"/>
      <c r="S524" s="49"/>
    </row>
    <row r="525">
      <c r="B525" s="100"/>
      <c r="L525" s="9"/>
      <c r="N525" s="49"/>
      <c r="S525" s="49"/>
    </row>
    <row r="526">
      <c r="B526" s="100"/>
      <c r="L526" s="9"/>
      <c r="N526" s="49"/>
      <c r="S526" s="49"/>
    </row>
    <row r="527">
      <c r="B527" s="100"/>
      <c r="L527" s="9"/>
      <c r="N527" s="49"/>
      <c r="S527" s="49"/>
    </row>
    <row r="528">
      <c r="B528" s="100"/>
      <c r="L528" s="9"/>
      <c r="N528" s="49"/>
      <c r="S528" s="49"/>
    </row>
    <row r="529">
      <c r="B529" s="100"/>
      <c r="L529" s="9"/>
      <c r="N529" s="49"/>
      <c r="S529" s="49"/>
    </row>
    <row r="530">
      <c r="B530" s="100"/>
      <c r="L530" s="9"/>
      <c r="N530" s="49"/>
      <c r="S530" s="49"/>
    </row>
    <row r="531">
      <c r="B531" s="100"/>
      <c r="L531" s="9"/>
      <c r="N531" s="49"/>
      <c r="S531" s="49"/>
    </row>
    <row r="532">
      <c r="B532" s="100"/>
      <c r="L532" s="9"/>
      <c r="N532" s="49"/>
      <c r="S532" s="49"/>
    </row>
    <row r="533">
      <c r="B533" s="100"/>
      <c r="L533" s="9"/>
      <c r="N533" s="49"/>
      <c r="S533" s="49"/>
    </row>
    <row r="534">
      <c r="B534" s="100"/>
      <c r="L534" s="9"/>
      <c r="N534" s="49"/>
      <c r="S534" s="49"/>
    </row>
    <row r="535">
      <c r="B535" s="100"/>
      <c r="L535" s="9"/>
      <c r="N535" s="49"/>
      <c r="S535" s="49"/>
    </row>
    <row r="536">
      <c r="B536" s="100"/>
      <c r="L536" s="9"/>
      <c r="N536" s="49"/>
      <c r="S536" s="49"/>
    </row>
    <row r="537">
      <c r="B537" s="100"/>
      <c r="L537" s="9"/>
      <c r="N537" s="49"/>
      <c r="S537" s="49"/>
    </row>
    <row r="538">
      <c r="B538" s="100"/>
      <c r="L538" s="9"/>
      <c r="N538" s="49"/>
      <c r="S538" s="49"/>
    </row>
    <row r="539">
      <c r="B539" s="100"/>
      <c r="L539" s="9"/>
      <c r="N539" s="49"/>
      <c r="S539" s="49"/>
    </row>
    <row r="540">
      <c r="B540" s="100"/>
      <c r="L540" s="9"/>
      <c r="N540" s="49"/>
      <c r="S540" s="49"/>
    </row>
    <row r="541">
      <c r="B541" s="100"/>
      <c r="L541" s="9"/>
      <c r="N541" s="49"/>
      <c r="S541" s="49"/>
    </row>
    <row r="542">
      <c r="B542" s="100"/>
      <c r="L542" s="9"/>
      <c r="N542" s="49"/>
      <c r="S542" s="49"/>
    </row>
    <row r="543">
      <c r="B543" s="100"/>
      <c r="L543" s="9"/>
      <c r="N543" s="49"/>
      <c r="S543" s="49"/>
    </row>
    <row r="544">
      <c r="B544" s="100"/>
      <c r="L544" s="9"/>
      <c r="N544" s="49"/>
      <c r="S544" s="49"/>
    </row>
    <row r="545">
      <c r="B545" s="100"/>
      <c r="L545" s="9"/>
      <c r="N545" s="49"/>
      <c r="S545" s="49"/>
    </row>
    <row r="546">
      <c r="B546" s="100"/>
      <c r="L546" s="9"/>
      <c r="N546" s="49"/>
      <c r="S546" s="49"/>
    </row>
    <row r="547">
      <c r="B547" s="100"/>
      <c r="L547" s="9"/>
      <c r="N547" s="49"/>
      <c r="S547" s="49"/>
    </row>
    <row r="548">
      <c r="B548" s="100"/>
      <c r="L548" s="9"/>
      <c r="N548" s="49"/>
      <c r="S548" s="49"/>
    </row>
    <row r="549">
      <c r="B549" s="100"/>
      <c r="L549" s="9"/>
      <c r="N549" s="49"/>
      <c r="S549" s="49"/>
    </row>
    <row r="550">
      <c r="B550" s="100"/>
      <c r="L550" s="9"/>
      <c r="N550" s="49"/>
      <c r="S550" s="49"/>
    </row>
    <row r="551">
      <c r="B551" s="100"/>
      <c r="L551" s="9"/>
      <c r="N551" s="49"/>
      <c r="S551" s="49"/>
    </row>
    <row r="552">
      <c r="B552" s="100"/>
      <c r="L552" s="9"/>
      <c r="N552" s="49"/>
      <c r="S552" s="49"/>
    </row>
    <row r="553">
      <c r="B553" s="100"/>
      <c r="L553" s="9"/>
      <c r="N553" s="49"/>
      <c r="S553" s="49"/>
    </row>
    <row r="554">
      <c r="B554" s="100"/>
      <c r="L554" s="9"/>
      <c r="N554" s="49"/>
      <c r="S554" s="49"/>
    </row>
    <row r="555">
      <c r="B555" s="100"/>
      <c r="L555" s="9"/>
      <c r="N555" s="49"/>
      <c r="S555" s="49"/>
    </row>
    <row r="556">
      <c r="B556" s="100"/>
      <c r="L556" s="9"/>
      <c r="N556" s="49"/>
      <c r="S556" s="49"/>
    </row>
    <row r="557">
      <c r="B557" s="100"/>
      <c r="L557" s="9"/>
      <c r="N557" s="49"/>
      <c r="S557" s="49"/>
    </row>
    <row r="558">
      <c r="B558" s="100"/>
      <c r="L558" s="9"/>
      <c r="N558" s="49"/>
      <c r="S558" s="49"/>
    </row>
    <row r="559">
      <c r="B559" s="100"/>
      <c r="L559" s="9"/>
      <c r="N559" s="49"/>
      <c r="S559" s="49"/>
    </row>
    <row r="560">
      <c r="B560" s="100"/>
      <c r="L560" s="9"/>
      <c r="N560" s="49"/>
      <c r="S560" s="49"/>
    </row>
    <row r="561">
      <c r="B561" s="100"/>
      <c r="L561" s="9"/>
      <c r="N561" s="49"/>
      <c r="S561" s="49"/>
    </row>
    <row r="562">
      <c r="B562" s="100"/>
      <c r="L562" s="9"/>
      <c r="N562" s="49"/>
      <c r="S562" s="49"/>
    </row>
    <row r="563">
      <c r="B563" s="100"/>
      <c r="L563" s="9"/>
      <c r="N563" s="49"/>
      <c r="S563" s="49"/>
    </row>
    <row r="564">
      <c r="B564" s="100"/>
      <c r="L564" s="9"/>
      <c r="N564" s="49"/>
      <c r="S564" s="49"/>
    </row>
    <row r="565">
      <c r="B565" s="100"/>
      <c r="L565" s="9"/>
      <c r="N565" s="49"/>
      <c r="S565" s="49"/>
    </row>
    <row r="566">
      <c r="B566" s="100"/>
      <c r="L566" s="9"/>
      <c r="N566" s="49"/>
      <c r="S566" s="49"/>
    </row>
    <row r="567">
      <c r="B567" s="100"/>
      <c r="L567" s="9"/>
      <c r="N567" s="49"/>
      <c r="S567" s="49"/>
    </row>
    <row r="568">
      <c r="B568" s="100"/>
      <c r="L568" s="9"/>
      <c r="N568" s="49"/>
      <c r="S568" s="49"/>
    </row>
    <row r="569">
      <c r="B569" s="100"/>
      <c r="L569" s="9"/>
      <c r="N569" s="49"/>
      <c r="S569" s="49"/>
    </row>
    <row r="570">
      <c r="B570" s="100"/>
      <c r="L570" s="9"/>
      <c r="N570" s="49"/>
      <c r="S570" s="49"/>
    </row>
    <row r="571">
      <c r="B571" s="100"/>
      <c r="L571" s="9"/>
      <c r="N571" s="49"/>
      <c r="S571" s="49"/>
    </row>
    <row r="572">
      <c r="B572" s="100"/>
      <c r="L572" s="9"/>
      <c r="N572" s="49"/>
      <c r="S572" s="49"/>
    </row>
    <row r="573">
      <c r="B573" s="100"/>
      <c r="L573" s="9"/>
      <c r="N573" s="49"/>
      <c r="S573" s="49"/>
    </row>
    <row r="574">
      <c r="B574" s="100"/>
      <c r="L574" s="9"/>
      <c r="N574" s="49"/>
      <c r="S574" s="49"/>
    </row>
    <row r="575">
      <c r="B575" s="100"/>
      <c r="L575" s="9"/>
      <c r="N575" s="49"/>
      <c r="S575" s="49"/>
    </row>
    <row r="576">
      <c r="B576" s="100"/>
      <c r="L576" s="9"/>
      <c r="N576" s="49"/>
      <c r="S576" s="49"/>
    </row>
    <row r="577">
      <c r="B577" s="100"/>
      <c r="L577" s="9"/>
      <c r="N577" s="49"/>
      <c r="S577" s="49"/>
    </row>
    <row r="578">
      <c r="B578" s="100"/>
      <c r="L578" s="9"/>
      <c r="N578" s="49"/>
      <c r="S578" s="49"/>
    </row>
    <row r="579">
      <c r="B579" s="100"/>
      <c r="L579" s="9"/>
      <c r="N579" s="49"/>
      <c r="S579" s="49"/>
    </row>
    <row r="580">
      <c r="B580" s="100"/>
      <c r="L580" s="9"/>
      <c r="N580" s="49"/>
      <c r="S580" s="49"/>
    </row>
    <row r="581">
      <c r="B581" s="100"/>
      <c r="L581" s="9"/>
      <c r="N581" s="49"/>
      <c r="S581" s="49"/>
    </row>
    <row r="582">
      <c r="B582" s="100"/>
      <c r="L582" s="9"/>
      <c r="N582" s="49"/>
      <c r="S582" s="49"/>
    </row>
    <row r="583">
      <c r="B583" s="100"/>
      <c r="L583" s="9"/>
      <c r="N583" s="49"/>
      <c r="S583" s="49"/>
    </row>
    <row r="584">
      <c r="B584" s="100"/>
      <c r="L584" s="9"/>
      <c r="N584" s="49"/>
      <c r="S584" s="49"/>
    </row>
    <row r="585">
      <c r="B585" s="100"/>
      <c r="L585" s="9"/>
      <c r="N585" s="49"/>
      <c r="S585" s="49"/>
    </row>
    <row r="586">
      <c r="B586" s="100"/>
      <c r="L586" s="9"/>
      <c r="N586" s="49"/>
      <c r="S586" s="49"/>
    </row>
    <row r="587">
      <c r="B587" s="100"/>
      <c r="L587" s="9"/>
      <c r="N587" s="49"/>
      <c r="S587" s="49"/>
    </row>
    <row r="588">
      <c r="B588" s="100"/>
      <c r="L588" s="9"/>
      <c r="N588" s="49"/>
      <c r="S588" s="49"/>
    </row>
    <row r="589">
      <c r="B589" s="100"/>
      <c r="L589" s="9"/>
      <c r="N589" s="49"/>
      <c r="S589" s="49"/>
    </row>
    <row r="590">
      <c r="B590" s="100"/>
      <c r="L590" s="9"/>
      <c r="N590" s="49"/>
      <c r="S590" s="49"/>
    </row>
    <row r="591">
      <c r="B591" s="100"/>
      <c r="L591" s="9"/>
      <c r="N591" s="49"/>
      <c r="S591" s="49"/>
    </row>
    <row r="592">
      <c r="B592" s="100"/>
      <c r="L592" s="9"/>
      <c r="N592" s="49"/>
      <c r="S592" s="49"/>
    </row>
    <row r="593">
      <c r="B593" s="100"/>
      <c r="L593" s="9"/>
      <c r="N593" s="49"/>
      <c r="S593" s="49"/>
    </row>
    <row r="594">
      <c r="B594" s="100"/>
      <c r="L594" s="9"/>
      <c r="N594" s="49"/>
      <c r="S594" s="49"/>
    </row>
    <row r="595">
      <c r="B595" s="100"/>
      <c r="L595" s="9"/>
      <c r="N595" s="49"/>
      <c r="S595" s="49"/>
    </row>
    <row r="596">
      <c r="B596" s="100"/>
      <c r="L596" s="9"/>
      <c r="N596" s="49"/>
      <c r="S596" s="49"/>
    </row>
    <row r="597">
      <c r="B597" s="100"/>
      <c r="L597" s="9"/>
      <c r="N597" s="49"/>
      <c r="S597" s="49"/>
    </row>
    <row r="598">
      <c r="B598" s="100"/>
      <c r="L598" s="9"/>
      <c r="N598" s="49"/>
      <c r="S598" s="49"/>
    </row>
    <row r="599">
      <c r="B599" s="100"/>
      <c r="L599" s="9"/>
      <c r="N599" s="49"/>
      <c r="S599" s="49"/>
    </row>
    <row r="600">
      <c r="B600" s="100"/>
      <c r="L600" s="9"/>
      <c r="N600" s="49"/>
      <c r="S600" s="49"/>
    </row>
    <row r="601">
      <c r="B601" s="100"/>
      <c r="L601" s="9"/>
      <c r="N601" s="49"/>
      <c r="S601" s="49"/>
    </row>
    <row r="602">
      <c r="B602" s="100"/>
      <c r="L602" s="9"/>
      <c r="N602" s="49"/>
      <c r="S602" s="49"/>
    </row>
    <row r="603">
      <c r="B603" s="100"/>
      <c r="L603" s="9"/>
      <c r="N603" s="49"/>
      <c r="S603" s="49"/>
    </row>
    <row r="604">
      <c r="B604" s="100"/>
      <c r="L604" s="9"/>
      <c r="N604" s="49"/>
      <c r="S604" s="49"/>
    </row>
    <row r="605">
      <c r="B605" s="100"/>
      <c r="L605" s="9"/>
      <c r="N605" s="49"/>
      <c r="S605" s="49"/>
    </row>
    <row r="606">
      <c r="B606" s="100"/>
      <c r="L606" s="9"/>
      <c r="N606" s="49"/>
      <c r="S606" s="49"/>
    </row>
    <row r="607">
      <c r="B607" s="100"/>
      <c r="L607" s="9"/>
      <c r="N607" s="49"/>
      <c r="S607" s="49"/>
    </row>
    <row r="608">
      <c r="B608" s="100"/>
      <c r="L608" s="9"/>
      <c r="N608" s="49"/>
      <c r="S608" s="49"/>
    </row>
    <row r="609">
      <c r="B609" s="100"/>
      <c r="L609" s="9"/>
      <c r="N609" s="49"/>
      <c r="S609" s="49"/>
    </row>
    <row r="610">
      <c r="B610" s="100"/>
      <c r="L610" s="9"/>
      <c r="N610" s="49"/>
      <c r="S610" s="49"/>
    </row>
    <row r="611">
      <c r="B611" s="100"/>
      <c r="L611" s="9"/>
      <c r="N611" s="49"/>
      <c r="S611" s="49"/>
    </row>
    <row r="612">
      <c r="B612" s="100"/>
      <c r="L612" s="9"/>
      <c r="N612" s="49"/>
      <c r="S612" s="49"/>
    </row>
    <row r="613">
      <c r="B613" s="100"/>
      <c r="L613" s="9"/>
      <c r="N613" s="49"/>
      <c r="S613" s="49"/>
    </row>
    <row r="614">
      <c r="B614" s="100"/>
      <c r="L614" s="9"/>
      <c r="N614" s="49"/>
      <c r="S614" s="49"/>
    </row>
    <row r="615">
      <c r="B615" s="100"/>
      <c r="L615" s="9"/>
      <c r="N615" s="49"/>
      <c r="S615" s="49"/>
    </row>
    <row r="616">
      <c r="B616" s="100"/>
      <c r="L616" s="9"/>
      <c r="N616" s="49"/>
      <c r="S616" s="49"/>
    </row>
    <row r="617">
      <c r="B617" s="100"/>
      <c r="L617" s="9"/>
      <c r="N617" s="49"/>
      <c r="S617" s="49"/>
    </row>
    <row r="618">
      <c r="B618" s="100"/>
      <c r="L618" s="9"/>
      <c r="N618" s="49"/>
      <c r="S618" s="49"/>
    </row>
    <row r="619">
      <c r="B619" s="100"/>
      <c r="L619" s="9"/>
      <c r="N619" s="49"/>
      <c r="S619" s="49"/>
    </row>
    <row r="620">
      <c r="B620" s="100"/>
      <c r="L620" s="9"/>
      <c r="N620" s="49"/>
      <c r="S620" s="49"/>
    </row>
    <row r="621">
      <c r="B621" s="100"/>
      <c r="L621" s="9"/>
      <c r="N621" s="49"/>
      <c r="S621" s="49"/>
    </row>
    <row r="622">
      <c r="B622" s="100"/>
      <c r="L622" s="9"/>
      <c r="N622" s="49"/>
      <c r="S622" s="49"/>
    </row>
    <row r="623">
      <c r="B623" s="100"/>
      <c r="L623" s="9"/>
      <c r="N623" s="49"/>
      <c r="S623" s="49"/>
    </row>
    <row r="624">
      <c r="B624" s="100"/>
      <c r="L624" s="9"/>
      <c r="N624" s="49"/>
      <c r="S624" s="49"/>
    </row>
    <row r="625">
      <c r="B625" s="100"/>
      <c r="L625" s="9"/>
      <c r="N625" s="49"/>
      <c r="S625" s="49"/>
    </row>
    <row r="626">
      <c r="B626" s="100"/>
      <c r="L626" s="9"/>
      <c r="N626" s="49"/>
      <c r="S626" s="49"/>
    </row>
    <row r="627">
      <c r="B627" s="100"/>
      <c r="L627" s="9"/>
      <c r="N627" s="49"/>
      <c r="S627" s="49"/>
    </row>
    <row r="628">
      <c r="B628" s="100"/>
      <c r="L628" s="9"/>
      <c r="N628" s="49"/>
      <c r="S628" s="49"/>
    </row>
    <row r="629">
      <c r="B629" s="100"/>
      <c r="L629" s="9"/>
      <c r="N629" s="49"/>
      <c r="S629" s="49"/>
    </row>
    <row r="630">
      <c r="B630" s="100"/>
      <c r="L630" s="9"/>
      <c r="N630" s="49"/>
      <c r="S630" s="49"/>
    </row>
    <row r="631">
      <c r="B631" s="100"/>
      <c r="L631" s="9"/>
      <c r="N631" s="49"/>
      <c r="S631" s="49"/>
    </row>
    <row r="632">
      <c r="B632" s="100"/>
      <c r="L632" s="9"/>
      <c r="N632" s="49"/>
      <c r="S632" s="49"/>
    </row>
    <row r="633">
      <c r="B633" s="100"/>
      <c r="L633" s="9"/>
      <c r="N633" s="49"/>
      <c r="S633" s="49"/>
    </row>
    <row r="634">
      <c r="B634" s="100"/>
      <c r="L634" s="9"/>
      <c r="N634" s="49"/>
      <c r="S634" s="49"/>
    </row>
    <row r="635">
      <c r="B635" s="100"/>
      <c r="L635" s="9"/>
      <c r="N635" s="49"/>
      <c r="S635" s="49"/>
    </row>
    <row r="636">
      <c r="B636" s="100"/>
      <c r="L636" s="9"/>
      <c r="N636" s="49"/>
      <c r="S636" s="49"/>
    </row>
    <row r="637">
      <c r="B637" s="100"/>
      <c r="L637" s="9"/>
      <c r="N637" s="49"/>
      <c r="S637" s="49"/>
    </row>
    <row r="638">
      <c r="B638" s="100"/>
      <c r="L638" s="9"/>
      <c r="N638" s="49"/>
      <c r="S638" s="49"/>
    </row>
    <row r="639">
      <c r="B639" s="100"/>
      <c r="L639" s="9"/>
      <c r="N639" s="49"/>
      <c r="S639" s="49"/>
    </row>
    <row r="640">
      <c r="B640" s="100"/>
      <c r="L640" s="9"/>
      <c r="N640" s="49"/>
      <c r="S640" s="49"/>
    </row>
    <row r="641">
      <c r="B641" s="100"/>
      <c r="L641" s="9"/>
      <c r="N641" s="49"/>
      <c r="S641" s="49"/>
    </row>
    <row r="642">
      <c r="B642" s="100"/>
      <c r="L642" s="9"/>
      <c r="N642" s="49"/>
      <c r="S642" s="49"/>
    </row>
    <row r="643">
      <c r="B643" s="100"/>
      <c r="L643" s="9"/>
      <c r="N643" s="49"/>
      <c r="S643" s="49"/>
    </row>
    <row r="644">
      <c r="B644" s="100"/>
      <c r="L644" s="9"/>
      <c r="N644" s="49"/>
      <c r="S644" s="49"/>
    </row>
    <row r="645">
      <c r="B645" s="100"/>
      <c r="L645" s="9"/>
      <c r="N645" s="49"/>
      <c r="S645" s="49"/>
    </row>
    <row r="646">
      <c r="B646" s="100"/>
      <c r="L646" s="9"/>
      <c r="N646" s="49"/>
      <c r="S646" s="49"/>
    </row>
    <row r="647">
      <c r="B647" s="100"/>
      <c r="L647" s="9"/>
      <c r="N647" s="49"/>
      <c r="S647" s="49"/>
    </row>
    <row r="648">
      <c r="B648" s="100"/>
      <c r="L648" s="9"/>
      <c r="N648" s="49"/>
      <c r="S648" s="49"/>
    </row>
    <row r="649">
      <c r="B649" s="100"/>
      <c r="L649" s="9"/>
      <c r="N649" s="49"/>
      <c r="S649" s="49"/>
    </row>
    <row r="650">
      <c r="B650" s="100"/>
      <c r="L650" s="9"/>
      <c r="N650" s="49"/>
      <c r="S650" s="49"/>
    </row>
    <row r="651">
      <c r="B651" s="100"/>
      <c r="L651" s="9"/>
      <c r="N651" s="49"/>
      <c r="S651" s="49"/>
    </row>
    <row r="652">
      <c r="B652" s="100"/>
      <c r="L652" s="9"/>
      <c r="N652" s="49"/>
      <c r="S652" s="49"/>
    </row>
    <row r="653">
      <c r="B653" s="100"/>
      <c r="L653" s="9"/>
      <c r="N653" s="49"/>
      <c r="S653" s="49"/>
    </row>
    <row r="654">
      <c r="B654" s="100"/>
      <c r="L654" s="9"/>
      <c r="N654" s="49"/>
      <c r="S654" s="49"/>
    </row>
    <row r="655">
      <c r="B655" s="100"/>
      <c r="L655" s="9"/>
      <c r="N655" s="49"/>
      <c r="S655" s="49"/>
    </row>
    <row r="656">
      <c r="B656" s="100"/>
      <c r="L656" s="9"/>
      <c r="N656" s="49"/>
      <c r="S656" s="49"/>
    </row>
    <row r="657">
      <c r="B657" s="100"/>
      <c r="L657" s="9"/>
      <c r="N657" s="49"/>
      <c r="S657" s="49"/>
    </row>
    <row r="658">
      <c r="B658" s="100"/>
      <c r="L658" s="9"/>
      <c r="N658" s="49"/>
      <c r="S658" s="49"/>
    </row>
    <row r="659">
      <c r="B659" s="100"/>
      <c r="L659" s="9"/>
      <c r="N659" s="49"/>
      <c r="S659" s="49"/>
    </row>
    <row r="660">
      <c r="B660" s="100"/>
      <c r="L660" s="9"/>
      <c r="N660" s="49"/>
      <c r="S660" s="49"/>
    </row>
    <row r="661">
      <c r="B661" s="100"/>
      <c r="L661" s="9"/>
      <c r="N661" s="49"/>
      <c r="S661" s="49"/>
    </row>
    <row r="662">
      <c r="B662" s="100"/>
      <c r="L662" s="9"/>
      <c r="N662" s="49"/>
      <c r="S662" s="49"/>
    </row>
    <row r="663">
      <c r="B663" s="100"/>
      <c r="L663" s="9"/>
      <c r="N663" s="49"/>
      <c r="S663" s="49"/>
    </row>
    <row r="664">
      <c r="B664" s="100"/>
      <c r="L664" s="9"/>
      <c r="N664" s="49"/>
      <c r="S664" s="49"/>
    </row>
    <row r="665">
      <c r="B665" s="100"/>
      <c r="L665" s="9"/>
      <c r="N665" s="49"/>
      <c r="S665" s="49"/>
    </row>
    <row r="666">
      <c r="B666" s="100"/>
      <c r="L666" s="9"/>
      <c r="N666" s="49"/>
      <c r="S666" s="49"/>
    </row>
    <row r="667">
      <c r="B667" s="100"/>
      <c r="L667" s="9"/>
      <c r="N667" s="49"/>
      <c r="S667" s="49"/>
    </row>
    <row r="668">
      <c r="B668" s="100"/>
      <c r="L668" s="9"/>
      <c r="N668" s="49"/>
      <c r="S668" s="49"/>
    </row>
    <row r="669">
      <c r="B669" s="100"/>
      <c r="L669" s="9"/>
      <c r="N669" s="49"/>
      <c r="S669" s="49"/>
    </row>
    <row r="670">
      <c r="B670" s="100"/>
      <c r="L670" s="9"/>
      <c r="N670" s="49"/>
      <c r="S670" s="49"/>
    </row>
    <row r="671">
      <c r="B671" s="100"/>
      <c r="L671" s="9"/>
      <c r="N671" s="49"/>
      <c r="S671" s="49"/>
    </row>
    <row r="672">
      <c r="B672" s="100"/>
      <c r="L672" s="9"/>
      <c r="N672" s="49"/>
      <c r="S672" s="49"/>
    </row>
    <row r="673">
      <c r="B673" s="100"/>
      <c r="L673" s="9"/>
      <c r="N673" s="49"/>
      <c r="S673" s="49"/>
    </row>
    <row r="674">
      <c r="B674" s="100"/>
      <c r="L674" s="9"/>
      <c r="N674" s="49"/>
      <c r="S674" s="49"/>
    </row>
    <row r="675">
      <c r="B675" s="100"/>
      <c r="L675" s="9"/>
      <c r="N675" s="49"/>
      <c r="S675" s="49"/>
    </row>
    <row r="676">
      <c r="B676" s="100"/>
      <c r="L676" s="9"/>
      <c r="N676" s="49"/>
      <c r="S676" s="49"/>
    </row>
    <row r="677">
      <c r="B677" s="100"/>
      <c r="L677" s="9"/>
      <c r="N677" s="49"/>
      <c r="S677" s="49"/>
    </row>
    <row r="678">
      <c r="B678" s="100"/>
      <c r="L678" s="9"/>
      <c r="N678" s="49"/>
      <c r="S678" s="49"/>
    </row>
    <row r="679">
      <c r="B679" s="100"/>
      <c r="L679" s="9"/>
      <c r="N679" s="49"/>
      <c r="S679" s="49"/>
    </row>
    <row r="680">
      <c r="B680" s="100"/>
      <c r="L680" s="9"/>
      <c r="N680" s="49"/>
      <c r="S680" s="49"/>
    </row>
    <row r="681">
      <c r="B681" s="100"/>
      <c r="L681" s="9"/>
      <c r="N681" s="49"/>
      <c r="S681" s="49"/>
    </row>
    <row r="682">
      <c r="B682" s="100"/>
      <c r="L682" s="9"/>
      <c r="N682" s="49"/>
      <c r="S682" s="49"/>
    </row>
    <row r="683">
      <c r="B683" s="100"/>
      <c r="L683" s="9"/>
      <c r="N683" s="49"/>
      <c r="S683" s="49"/>
    </row>
    <row r="684">
      <c r="B684" s="100"/>
      <c r="L684" s="9"/>
      <c r="N684" s="49"/>
      <c r="S684" s="49"/>
    </row>
    <row r="685">
      <c r="B685" s="100"/>
      <c r="L685" s="9"/>
      <c r="N685" s="49"/>
      <c r="S685" s="49"/>
    </row>
    <row r="686">
      <c r="B686" s="100"/>
      <c r="L686" s="9"/>
      <c r="N686" s="49"/>
      <c r="S686" s="49"/>
    </row>
    <row r="687">
      <c r="B687" s="100"/>
      <c r="L687" s="9"/>
      <c r="N687" s="49"/>
      <c r="S687" s="49"/>
    </row>
    <row r="688">
      <c r="B688" s="100"/>
      <c r="L688" s="9"/>
      <c r="N688" s="49"/>
      <c r="S688" s="49"/>
    </row>
    <row r="689">
      <c r="B689" s="100"/>
      <c r="L689" s="9"/>
      <c r="N689" s="49"/>
      <c r="S689" s="49"/>
    </row>
    <row r="690">
      <c r="B690" s="100"/>
      <c r="L690" s="9"/>
      <c r="N690" s="49"/>
      <c r="S690" s="49"/>
    </row>
    <row r="691">
      <c r="B691" s="100"/>
      <c r="L691" s="9"/>
      <c r="N691" s="49"/>
      <c r="S691" s="49"/>
    </row>
    <row r="692">
      <c r="B692" s="100"/>
      <c r="L692" s="9"/>
      <c r="N692" s="49"/>
      <c r="S692" s="49"/>
    </row>
    <row r="693">
      <c r="B693" s="100"/>
      <c r="L693" s="9"/>
      <c r="N693" s="49"/>
      <c r="S693" s="49"/>
    </row>
    <row r="694">
      <c r="B694" s="100"/>
      <c r="L694" s="9"/>
      <c r="N694" s="49"/>
      <c r="S694" s="49"/>
    </row>
    <row r="695">
      <c r="B695" s="100"/>
      <c r="L695" s="9"/>
      <c r="N695" s="49"/>
      <c r="S695" s="49"/>
    </row>
    <row r="696">
      <c r="B696" s="100"/>
      <c r="L696" s="9"/>
      <c r="N696" s="49"/>
      <c r="S696" s="49"/>
    </row>
    <row r="697">
      <c r="B697" s="100"/>
      <c r="L697" s="9"/>
      <c r="N697" s="49"/>
      <c r="S697" s="49"/>
    </row>
    <row r="698">
      <c r="B698" s="100"/>
      <c r="L698" s="9"/>
      <c r="N698" s="49"/>
      <c r="S698" s="49"/>
    </row>
    <row r="699">
      <c r="B699" s="100"/>
      <c r="L699" s="9"/>
      <c r="N699" s="49"/>
      <c r="S699" s="49"/>
    </row>
    <row r="700">
      <c r="B700" s="100"/>
      <c r="L700" s="9"/>
      <c r="N700" s="49"/>
      <c r="S700" s="49"/>
    </row>
    <row r="701">
      <c r="B701" s="100"/>
      <c r="L701" s="9"/>
      <c r="N701" s="49"/>
      <c r="S701" s="49"/>
    </row>
    <row r="702">
      <c r="B702" s="100"/>
      <c r="L702" s="9"/>
      <c r="N702" s="49"/>
      <c r="S702" s="49"/>
    </row>
    <row r="703">
      <c r="B703" s="100"/>
      <c r="L703" s="9"/>
      <c r="N703" s="49"/>
      <c r="S703" s="49"/>
    </row>
    <row r="704">
      <c r="B704" s="100"/>
      <c r="L704" s="9"/>
      <c r="N704" s="49"/>
      <c r="S704" s="49"/>
    </row>
    <row r="705">
      <c r="B705" s="100"/>
      <c r="L705" s="9"/>
      <c r="N705" s="49"/>
      <c r="S705" s="49"/>
    </row>
    <row r="706">
      <c r="B706" s="100"/>
      <c r="L706" s="9"/>
      <c r="N706" s="49"/>
      <c r="S706" s="49"/>
    </row>
    <row r="707">
      <c r="B707" s="100"/>
      <c r="L707" s="9"/>
      <c r="N707" s="49"/>
      <c r="S707" s="49"/>
    </row>
    <row r="708">
      <c r="B708" s="100"/>
      <c r="L708" s="9"/>
      <c r="N708" s="49"/>
      <c r="S708" s="49"/>
    </row>
    <row r="709">
      <c r="B709" s="100"/>
      <c r="L709" s="9"/>
      <c r="N709" s="49"/>
      <c r="S709" s="49"/>
    </row>
    <row r="710">
      <c r="B710" s="100"/>
      <c r="L710" s="9"/>
      <c r="N710" s="49"/>
      <c r="S710" s="49"/>
    </row>
    <row r="711">
      <c r="B711" s="100"/>
      <c r="L711" s="9"/>
      <c r="N711" s="49"/>
      <c r="S711" s="49"/>
    </row>
    <row r="712">
      <c r="B712" s="100"/>
      <c r="L712" s="9"/>
      <c r="N712" s="49"/>
      <c r="S712" s="49"/>
    </row>
    <row r="713">
      <c r="B713" s="100"/>
      <c r="L713" s="9"/>
      <c r="N713" s="49"/>
      <c r="S713" s="49"/>
    </row>
    <row r="714">
      <c r="B714" s="100"/>
      <c r="L714" s="9"/>
      <c r="N714" s="49"/>
      <c r="S714" s="49"/>
    </row>
    <row r="715">
      <c r="B715" s="100"/>
      <c r="L715" s="9"/>
      <c r="N715" s="49"/>
      <c r="S715" s="49"/>
    </row>
    <row r="716">
      <c r="B716" s="100"/>
      <c r="L716" s="9"/>
      <c r="N716" s="49"/>
      <c r="S716" s="49"/>
    </row>
    <row r="717">
      <c r="B717" s="100"/>
      <c r="L717" s="9"/>
      <c r="N717" s="49"/>
      <c r="S717" s="49"/>
    </row>
    <row r="718">
      <c r="B718" s="100"/>
      <c r="L718" s="9"/>
      <c r="N718" s="49"/>
      <c r="S718" s="49"/>
    </row>
    <row r="719">
      <c r="B719" s="100"/>
      <c r="L719" s="9"/>
      <c r="N719" s="49"/>
      <c r="S719" s="49"/>
    </row>
    <row r="720">
      <c r="B720" s="100"/>
      <c r="L720" s="9"/>
      <c r="N720" s="49"/>
      <c r="S720" s="49"/>
    </row>
    <row r="721">
      <c r="B721" s="100"/>
      <c r="L721" s="9"/>
      <c r="N721" s="49"/>
      <c r="S721" s="49"/>
    </row>
    <row r="722">
      <c r="B722" s="100"/>
      <c r="L722" s="9"/>
      <c r="N722" s="49"/>
      <c r="S722" s="49"/>
    </row>
    <row r="723">
      <c r="B723" s="100"/>
      <c r="L723" s="9"/>
      <c r="N723" s="49"/>
      <c r="S723" s="49"/>
    </row>
    <row r="724">
      <c r="B724" s="100"/>
      <c r="L724" s="9"/>
      <c r="N724" s="49"/>
      <c r="S724" s="49"/>
    </row>
    <row r="725">
      <c r="B725" s="100"/>
      <c r="L725" s="9"/>
      <c r="N725" s="49"/>
      <c r="S725" s="49"/>
    </row>
    <row r="726">
      <c r="B726" s="100"/>
      <c r="L726" s="9"/>
      <c r="N726" s="49"/>
      <c r="S726" s="49"/>
    </row>
    <row r="727">
      <c r="B727" s="100"/>
      <c r="L727" s="9"/>
      <c r="N727" s="49"/>
      <c r="S727" s="49"/>
    </row>
    <row r="728">
      <c r="B728" s="100"/>
      <c r="L728" s="9"/>
      <c r="N728" s="49"/>
      <c r="S728" s="49"/>
    </row>
    <row r="729">
      <c r="B729" s="100"/>
      <c r="L729" s="9"/>
      <c r="N729" s="49"/>
      <c r="S729" s="49"/>
    </row>
    <row r="730">
      <c r="B730" s="100"/>
      <c r="L730" s="9"/>
      <c r="N730" s="49"/>
      <c r="S730" s="49"/>
    </row>
    <row r="731">
      <c r="B731" s="100"/>
      <c r="L731" s="9"/>
      <c r="N731" s="49"/>
      <c r="S731" s="49"/>
    </row>
    <row r="732">
      <c r="B732" s="100"/>
      <c r="L732" s="9"/>
      <c r="N732" s="49"/>
      <c r="S732" s="49"/>
    </row>
    <row r="733">
      <c r="B733" s="100"/>
      <c r="L733" s="9"/>
      <c r="N733" s="49"/>
      <c r="S733" s="49"/>
    </row>
    <row r="734">
      <c r="B734" s="100"/>
      <c r="L734" s="9"/>
      <c r="N734" s="49"/>
      <c r="S734" s="49"/>
    </row>
    <row r="735">
      <c r="B735" s="100"/>
      <c r="L735" s="9"/>
      <c r="N735" s="49"/>
      <c r="S735" s="49"/>
    </row>
    <row r="736">
      <c r="B736" s="100"/>
      <c r="L736" s="9"/>
      <c r="N736" s="49"/>
      <c r="S736" s="49"/>
    </row>
    <row r="737">
      <c r="B737" s="100"/>
      <c r="L737" s="9"/>
      <c r="N737" s="49"/>
      <c r="S737" s="49"/>
    </row>
    <row r="738">
      <c r="B738" s="100"/>
      <c r="L738" s="9"/>
      <c r="N738" s="49"/>
      <c r="S738" s="49"/>
    </row>
    <row r="739">
      <c r="B739" s="100"/>
      <c r="L739" s="9"/>
      <c r="N739" s="49"/>
      <c r="S739" s="49"/>
    </row>
    <row r="740">
      <c r="B740" s="100"/>
      <c r="L740" s="9"/>
      <c r="N740" s="49"/>
      <c r="S740" s="49"/>
    </row>
    <row r="741">
      <c r="B741" s="100"/>
      <c r="L741" s="9"/>
      <c r="N741" s="49"/>
      <c r="S741" s="49"/>
    </row>
    <row r="742">
      <c r="B742" s="100"/>
      <c r="L742" s="9"/>
      <c r="N742" s="49"/>
      <c r="S742" s="49"/>
    </row>
    <row r="743">
      <c r="B743" s="100"/>
      <c r="L743" s="9"/>
      <c r="N743" s="49"/>
      <c r="S743" s="49"/>
    </row>
    <row r="744">
      <c r="B744" s="100"/>
      <c r="L744" s="9"/>
      <c r="N744" s="49"/>
      <c r="S744" s="49"/>
    </row>
    <row r="745">
      <c r="B745" s="100"/>
      <c r="L745" s="9"/>
      <c r="N745" s="49"/>
      <c r="S745" s="49"/>
    </row>
    <row r="746">
      <c r="B746" s="100"/>
      <c r="L746" s="9"/>
      <c r="N746" s="49"/>
      <c r="S746" s="49"/>
    </row>
    <row r="747">
      <c r="B747" s="100"/>
      <c r="L747" s="9"/>
      <c r="N747" s="49"/>
      <c r="S747" s="49"/>
    </row>
    <row r="748">
      <c r="B748" s="100"/>
      <c r="L748" s="9"/>
      <c r="N748" s="49"/>
      <c r="S748" s="49"/>
    </row>
    <row r="749">
      <c r="B749" s="100"/>
      <c r="L749" s="9"/>
      <c r="N749" s="49"/>
      <c r="S749" s="49"/>
    </row>
    <row r="750">
      <c r="B750" s="100"/>
      <c r="L750" s="9"/>
      <c r="N750" s="49"/>
      <c r="S750" s="49"/>
    </row>
    <row r="751">
      <c r="B751" s="100"/>
      <c r="L751" s="9"/>
      <c r="N751" s="49"/>
      <c r="S751" s="49"/>
    </row>
    <row r="752">
      <c r="B752" s="100"/>
      <c r="L752" s="9"/>
      <c r="N752" s="49"/>
      <c r="S752" s="49"/>
    </row>
    <row r="753">
      <c r="B753" s="100"/>
      <c r="L753" s="9"/>
      <c r="N753" s="49"/>
      <c r="S753" s="49"/>
    </row>
    <row r="754">
      <c r="B754" s="100"/>
      <c r="L754" s="9"/>
      <c r="N754" s="49"/>
      <c r="S754" s="49"/>
    </row>
    <row r="755">
      <c r="B755" s="100"/>
      <c r="L755" s="9"/>
      <c r="N755" s="49"/>
      <c r="S755" s="49"/>
    </row>
    <row r="756">
      <c r="B756" s="100"/>
      <c r="L756" s="9"/>
      <c r="N756" s="49"/>
      <c r="S756" s="49"/>
    </row>
    <row r="757">
      <c r="B757" s="100"/>
      <c r="L757" s="9"/>
      <c r="N757" s="49"/>
      <c r="S757" s="49"/>
    </row>
    <row r="758">
      <c r="B758" s="100"/>
      <c r="L758" s="9"/>
      <c r="N758" s="49"/>
      <c r="S758" s="49"/>
    </row>
    <row r="759">
      <c r="B759" s="100"/>
      <c r="L759" s="9"/>
      <c r="N759" s="49"/>
      <c r="S759" s="49"/>
    </row>
    <row r="760">
      <c r="B760" s="100"/>
      <c r="L760" s="9"/>
      <c r="N760" s="49"/>
      <c r="S760" s="49"/>
    </row>
    <row r="761">
      <c r="B761" s="100"/>
      <c r="L761" s="9"/>
      <c r="N761" s="49"/>
      <c r="S761" s="49"/>
    </row>
    <row r="762">
      <c r="B762" s="100"/>
      <c r="L762" s="9"/>
      <c r="N762" s="49"/>
      <c r="S762" s="49"/>
    </row>
    <row r="763">
      <c r="B763" s="100"/>
      <c r="L763" s="9"/>
      <c r="N763" s="49"/>
      <c r="S763" s="49"/>
    </row>
    <row r="764">
      <c r="B764" s="100"/>
      <c r="L764" s="9"/>
      <c r="N764" s="49"/>
      <c r="S764" s="49"/>
    </row>
    <row r="765">
      <c r="B765" s="100"/>
      <c r="L765" s="9"/>
      <c r="N765" s="49"/>
      <c r="S765" s="49"/>
    </row>
    <row r="766">
      <c r="B766" s="100"/>
      <c r="L766" s="9"/>
      <c r="N766" s="49"/>
      <c r="S766" s="49"/>
    </row>
    <row r="767">
      <c r="B767" s="100"/>
      <c r="L767" s="9"/>
      <c r="N767" s="49"/>
      <c r="S767" s="49"/>
    </row>
    <row r="768">
      <c r="B768" s="100"/>
      <c r="L768" s="9"/>
      <c r="N768" s="49"/>
      <c r="S768" s="49"/>
    </row>
    <row r="769">
      <c r="B769" s="100"/>
      <c r="L769" s="9"/>
      <c r="N769" s="49"/>
      <c r="S769" s="49"/>
    </row>
    <row r="770">
      <c r="B770" s="100"/>
      <c r="L770" s="9"/>
      <c r="N770" s="49"/>
      <c r="S770" s="49"/>
    </row>
    <row r="771">
      <c r="B771" s="100"/>
      <c r="L771" s="9"/>
      <c r="N771" s="49"/>
      <c r="S771" s="49"/>
    </row>
    <row r="772">
      <c r="B772" s="100"/>
      <c r="L772" s="9"/>
      <c r="N772" s="49"/>
      <c r="S772" s="49"/>
    </row>
    <row r="773">
      <c r="B773" s="100"/>
      <c r="L773" s="9"/>
      <c r="N773" s="49"/>
      <c r="S773" s="49"/>
    </row>
    <row r="774">
      <c r="B774" s="100"/>
      <c r="L774" s="9"/>
      <c r="N774" s="49"/>
      <c r="S774" s="49"/>
    </row>
    <row r="775">
      <c r="B775" s="100"/>
      <c r="L775" s="9"/>
      <c r="N775" s="49"/>
      <c r="S775" s="49"/>
    </row>
    <row r="776">
      <c r="B776" s="100"/>
      <c r="L776" s="9"/>
      <c r="N776" s="49"/>
      <c r="S776" s="49"/>
    </row>
    <row r="777">
      <c r="B777" s="100"/>
      <c r="L777" s="9"/>
      <c r="N777" s="49"/>
      <c r="S777" s="49"/>
    </row>
    <row r="778">
      <c r="B778" s="100"/>
      <c r="L778" s="9"/>
      <c r="N778" s="49"/>
      <c r="S778" s="49"/>
    </row>
    <row r="779">
      <c r="B779" s="100"/>
      <c r="L779" s="9"/>
      <c r="N779" s="49"/>
      <c r="S779" s="49"/>
    </row>
    <row r="780">
      <c r="B780" s="100"/>
      <c r="L780" s="9"/>
      <c r="N780" s="49"/>
      <c r="S780" s="49"/>
    </row>
    <row r="781">
      <c r="B781" s="100"/>
      <c r="L781" s="9"/>
      <c r="N781" s="49"/>
      <c r="S781" s="49"/>
    </row>
    <row r="782">
      <c r="B782" s="100"/>
      <c r="L782" s="9"/>
      <c r="N782" s="49"/>
      <c r="S782" s="49"/>
    </row>
    <row r="783">
      <c r="B783" s="100"/>
      <c r="L783" s="9"/>
      <c r="N783" s="49"/>
      <c r="S783" s="49"/>
    </row>
    <row r="784">
      <c r="B784" s="100"/>
      <c r="L784" s="9"/>
      <c r="N784" s="49"/>
      <c r="S784" s="49"/>
    </row>
    <row r="785">
      <c r="B785" s="100"/>
      <c r="L785" s="9"/>
      <c r="N785" s="49"/>
      <c r="S785" s="49"/>
    </row>
    <row r="786">
      <c r="B786" s="100"/>
      <c r="L786" s="9"/>
      <c r="N786" s="49"/>
      <c r="S786" s="49"/>
    </row>
    <row r="787">
      <c r="B787" s="100"/>
      <c r="L787" s="9"/>
      <c r="N787" s="49"/>
      <c r="S787" s="49"/>
    </row>
    <row r="788">
      <c r="B788" s="100"/>
      <c r="L788" s="9"/>
      <c r="N788" s="49"/>
      <c r="S788" s="49"/>
    </row>
    <row r="789">
      <c r="B789" s="100"/>
      <c r="L789" s="9"/>
      <c r="N789" s="49"/>
      <c r="S789" s="49"/>
    </row>
    <row r="790">
      <c r="B790" s="100"/>
      <c r="L790" s="9"/>
      <c r="N790" s="49"/>
      <c r="S790" s="49"/>
    </row>
    <row r="791">
      <c r="B791" s="100"/>
      <c r="L791" s="9"/>
      <c r="N791" s="49"/>
      <c r="S791" s="49"/>
    </row>
    <row r="792">
      <c r="B792" s="100"/>
      <c r="L792" s="9"/>
      <c r="N792" s="49"/>
      <c r="S792" s="49"/>
    </row>
    <row r="793">
      <c r="B793" s="100"/>
      <c r="L793" s="9"/>
      <c r="N793" s="49"/>
      <c r="S793" s="49"/>
    </row>
    <row r="794">
      <c r="B794" s="100"/>
      <c r="L794" s="9"/>
      <c r="N794" s="49"/>
      <c r="S794" s="49"/>
    </row>
    <row r="795">
      <c r="B795" s="100"/>
      <c r="L795" s="9"/>
      <c r="N795" s="49"/>
      <c r="S795" s="49"/>
    </row>
    <row r="796">
      <c r="B796" s="100"/>
      <c r="L796" s="9"/>
      <c r="N796" s="49"/>
      <c r="S796" s="49"/>
    </row>
    <row r="797">
      <c r="B797" s="100"/>
      <c r="L797" s="9"/>
      <c r="N797" s="49"/>
      <c r="S797" s="49"/>
    </row>
    <row r="798">
      <c r="B798" s="100"/>
      <c r="L798" s="9"/>
      <c r="N798" s="49"/>
      <c r="S798" s="49"/>
    </row>
    <row r="799">
      <c r="B799" s="100"/>
      <c r="L799" s="9"/>
      <c r="N799" s="49"/>
      <c r="S799" s="49"/>
    </row>
    <row r="800">
      <c r="B800" s="100"/>
      <c r="L800" s="9"/>
      <c r="N800" s="49"/>
      <c r="S800" s="49"/>
    </row>
    <row r="801">
      <c r="B801" s="100"/>
      <c r="L801" s="9"/>
      <c r="N801" s="49"/>
      <c r="S801" s="49"/>
    </row>
    <row r="802">
      <c r="B802" s="100"/>
      <c r="L802" s="9"/>
      <c r="N802" s="49"/>
      <c r="S802" s="49"/>
    </row>
    <row r="803">
      <c r="B803" s="100"/>
      <c r="L803" s="9"/>
      <c r="N803" s="49"/>
      <c r="S803" s="49"/>
    </row>
    <row r="804">
      <c r="B804" s="100"/>
      <c r="L804" s="9"/>
      <c r="N804" s="49"/>
      <c r="S804" s="49"/>
    </row>
    <row r="805">
      <c r="B805" s="100"/>
      <c r="L805" s="9"/>
      <c r="N805" s="49"/>
      <c r="S805" s="49"/>
    </row>
    <row r="806">
      <c r="B806" s="100"/>
      <c r="L806" s="9"/>
      <c r="N806" s="49"/>
      <c r="S806" s="49"/>
    </row>
    <row r="807">
      <c r="B807" s="100"/>
      <c r="L807" s="9"/>
      <c r="N807" s="49"/>
      <c r="S807" s="49"/>
    </row>
    <row r="808">
      <c r="B808" s="100"/>
      <c r="L808" s="9"/>
      <c r="N808" s="49"/>
      <c r="S808" s="49"/>
    </row>
    <row r="809">
      <c r="B809" s="100"/>
      <c r="L809" s="9"/>
      <c r="N809" s="49"/>
      <c r="S809" s="49"/>
    </row>
    <row r="810">
      <c r="B810" s="100"/>
      <c r="L810" s="9"/>
      <c r="N810" s="49"/>
      <c r="S810" s="49"/>
    </row>
    <row r="811">
      <c r="B811" s="100"/>
      <c r="L811" s="9"/>
      <c r="N811" s="49"/>
      <c r="S811" s="49"/>
    </row>
    <row r="812">
      <c r="B812" s="100"/>
      <c r="L812" s="9"/>
      <c r="N812" s="49"/>
      <c r="S812" s="49"/>
    </row>
    <row r="813">
      <c r="B813" s="100"/>
      <c r="L813" s="9"/>
      <c r="N813" s="49"/>
      <c r="S813" s="49"/>
    </row>
    <row r="814">
      <c r="B814" s="100"/>
      <c r="L814" s="9"/>
      <c r="N814" s="49"/>
      <c r="S814" s="49"/>
    </row>
    <row r="815">
      <c r="B815" s="100"/>
      <c r="L815" s="9"/>
      <c r="N815" s="49"/>
      <c r="S815" s="49"/>
    </row>
    <row r="816">
      <c r="B816" s="100"/>
      <c r="L816" s="9"/>
      <c r="N816" s="49"/>
      <c r="S816" s="49"/>
    </row>
    <row r="817">
      <c r="B817" s="100"/>
      <c r="L817" s="9"/>
      <c r="N817" s="49"/>
      <c r="S817" s="49"/>
    </row>
    <row r="818">
      <c r="B818" s="100"/>
      <c r="L818" s="9"/>
      <c r="N818" s="49"/>
      <c r="S818" s="49"/>
    </row>
    <row r="819">
      <c r="B819" s="100"/>
      <c r="L819" s="9"/>
      <c r="N819" s="49"/>
      <c r="S819" s="49"/>
    </row>
    <row r="820">
      <c r="B820" s="100"/>
      <c r="L820" s="9"/>
      <c r="N820" s="49"/>
      <c r="S820" s="49"/>
    </row>
    <row r="821">
      <c r="B821" s="100"/>
      <c r="L821" s="9"/>
      <c r="N821" s="49"/>
      <c r="S821" s="49"/>
    </row>
    <row r="822">
      <c r="B822" s="100"/>
      <c r="L822" s="9"/>
      <c r="N822" s="49"/>
      <c r="S822" s="49"/>
    </row>
    <row r="823">
      <c r="B823" s="100"/>
      <c r="L823" s="9"/>
      <c r="N823" s="49"/>
      <c r="S823" s="49"/>
    </row>
    <row r="824">
      <c r="B824" s="100"/>
      <c r="L824" s="9"/>
      <c r="N824" s="49"/>
      <c r="S824" s="49"/>
    </row>
    <row r="825">
      <c r="B825" s="100"/>
      <c r="L825" s="9"/>
      <c r="N825" s="49"/>
      <c r="S825" s="49"/>
    </row>
    <row r="826">
      <c r="B826" s="100"/>
      <c r="L826" s="9"/>
      <c r="N826" s="49"/>
      <c r="S826" s="49"/>
    </row>
    <row r="827">
      <c r="B827" s="100"/>
      <c r="L827" s="9"/>
      <c r="N827" s="49"/>
      <c r="S827" s="49"/>
    </row>
    <row r="828">
      <c r="B828" s="100"/>
      <c r="L828" s="9"/>
      <c r="N828" s="49"/>
      <c r="S828" s="49"/>
    </row>
    <row r="829">
      <c r="B829" s="100"/>
      <c r="L829" s="9"/>
      <c r="N829" s="49"/>
      <c r="S829" s="49"/>
    </row>
    <row r="830">
      <c r="B830" s="100"/>
      <c r="L830" s="9"/>
      <c r="N830" s="49"/>
      <c r="S830" s="49"/>
    </row>
    <row r="831">
      <c r="B831" s="100"/>
      <c r="L831" s="9"/>
      <c r="N831" s="49"/>
      <c r="S831" s="49"/>
    </row>
    <row r="832">
      <c r="B832" s="100"/>
      <c r="L832" s="9"/>
      <c r="N832" s="49"/>
      <c r="S832" s="49"/>
    </row>
    <row r="833">
      <c r="B833" s="100"/>
      <c r="L833" s="9"/>
      <c r="N833" s="49"/>
      <c r="S833" s="49"/>
    </row>
    <row r="834">
      <c r="B834" s="100"/>
      <c r="L834" s="9"/>
      <c r="N834" s="49"/>
      <c r="S834" s="49"/>
    </row>
    <row r="835">
      <c r="B835" s="100"/>
      <c r="L835" s="9"/>
      <c r="N835" s="49"/>
      <c r="S835" s="49"/>
    </row>
    <row r="836">
      <c r="B836" s="100"/>
      <c r="L836" s="9"/>
      <c r="N836" s="49"/>
      <c r="S836" s="49"/>
    </row>
    <row r="837">
      <c r="B837" s="100"/>
      <c r="L837" s="9"/>
      <c r="N837" s="49"/>
      <c r="S837" s="49"/>
    </row>
    <row r="838">
      <c r="B838" s="100"/>
      <c r="L838" s="9"/>
      <c r="N838" s="49"/>
      <c r="S838" s="49"/>
    </row>
    <row r="839">
      <c r="B839" s="100"/>
      <c r="L839" s="9"/>
      <c r="N839" s="49"/>
      <c r="S839" s="49"/>
    </row>
    <row r="840">
      <c r="B840" s="100"/>
      <c r="L840" s="9"/>
      <c r="N840" s="49"/>
      <c r="S840" s="49"/>
    </row>
    <row r="841">
      <c r="B841" s="100"/>
      <c r="L841" s="9"/>
      <c r="N841" s="49"/>
      <c r="S841" s="49"/>
    </row>
    <row r="842">
      <c r="B842" s="100"/>
      <c r="L842" s="9"/>
      <c r="N842" s="49"/>
      <c r="S842" s="49"/>
    </row>
    <row r="843">
      <c r="B843" s="100"/>
      <c r="L843" s="9"/>
      <c r="N843" s="49"/>
      <c r="S843" s="49"/>
    </row>
    <row r="844">
      <c r="B844" s="100"/>
      <c r="L844" s="9"/>
      <c r="N844" s="49"/>
      <c r="S844" s="49"/>
    </row>
    <row r="845">
      <c r="B845" s="100"/>
      <c r="L845" s="9"/>
      <c r="N845" s="49"/>
      <c r="S845" s="49"/>
    </row>
    <row r="846">
      <c r="B846" s="100"/>
      <c r="L846" s="9"/>
      <c r="N846" s="49"/>
      <c r="S846" s="49"/>
    </row>
    <row r="847">
      <c r="B847" s="100"/>
      <c r="L847" s="9"/>
      <c r="N847" s="49"/>
      <c r="S847" s="49"/>
    </row>
    <row r="848">
      <c r="B848" s="100"/>
      <c r="L848" s="9"/>
      <c r="N848" s="49"/>
      <c r="S848" s="49"/>
    </row>
    <row r="849">
      <c r="B849" s="100"/>
      <c r="L849" s="9"/>
      <c r="N849" s="49"/>
      <c r="S849" s="49"/>
    </row>
    <row r="850">
      <c r="B850" s="100"/>
      <c r="L850" s="9"/>
      <c r="N850" s="49"/>
      <c r="S850" s="49"/>
    </row>
    <row r="851">
      <c r="B851" s="100"/>
      <c r="L851" s="9"/>
      <c r="N851" s="49"/>
      <c r="S851" s="49"/>
    </row>
    <row r="852">
      <c r="B852" s="100"/>
      <c r="L852" s="9"/>
      <c r="N852" s="49"/>
      <c r="S852" s="49"/>
    </row>
    <row r="853">
      <c r="B853" s="100"/>
      <c r="L853" s="9"/>
      <c r="N853" s="49"/>
      <c r="S853" s="49"/>
    </row>
    <row r="854">
      <c r="B854" s="100"/>
      <c r="L854" s="9"/>
      <c r="N854" s="49"/>
      <c r="S854" s="49"/>
    </row>
    <row r="855">
      <c r="B855" s="100"/>
      <c r="L855" s="9"/>
      <c r="N855" s="49"/>
      <c r="S855" s="49"/>
    </row>
    <row r="856">
      <c r="B856" s="100"/>
      <c r="L856" s="9"/>
      <c r="N856" s="49"/>
      <c r="S856" s="49"/>
    </row>
    <row r="857">
      <c r="B857" s="100"/>
      <c r="L857" s="9"/>
      <c r="N857" s="49"/>
      <c r="S857" s="49"/>
    </row>
    <row r="858">
      <c r="B858" s="100"/>
      <c r="L858" s="9"/>
      <c r="N858" s="49"/>
      <c r="S858" s="49"/>
    </row>
    <row r="859">
      <c r="B859" s="100"/>
      <c r="L859" s="9"/>
      <c r="N859" s="49"/>
      <c r="S859" s="49"/>
    </row>
    <row r="860">
      <c r="B860" s="100"/>
      <c r="L860" s="9"/>
      <c r="N860" s="49"/>
      <c r="S860" s="49"/>
    </row>
    <row r="861">
      <c r="B861" s="100"/>
      <c r="L861" s="9"/>
      <c r="N861" s="49"/>
      <c r="S861" s="49"/>
    </row>
    <row r="862">
      <c r="B862" s="100"/>
      <c r="L862" s="9"/>
      <c r="N862" s="49"/>
      <c r="S862" s="49"/>
    </row>
    <row r="863">
      <c r="B863" s="100"/>
      <c r="L863" s="9"/>
      <c r="N863" s="49"/>
      <c r="S863" s="49"/>
    </row>
    <row r="864">
      <c r="B864" s="100"/>
      <c r="L864" s="9"/>
      <c r="N864" s="49"/>
      <c r="S864" s="49"/>
    </row>
    <row r="865">
      <c r="B865" s="100"/>
      <c r="L865" s="9"/>
      <c r="N865" s="49"/>
      <c r="S865" s="49"/>
    </row>
    <row r="866">
      <c r="B866" s="100"/>
      <c r="L866" s="9"/>
      <c r="N866" s="49"/>
      <c r="S866" s="49"/>
    </row>
    <row r="867">
      <c r="B867" s="100"/>
      <c r="L867" s="9"/>
      <c r="N867" s="49"/>
      <c r="S867" s="49"/>
    </row>
    <row r="868">
      <c r="B868" s="100"/>
      <c r="L868" s="9"/>
      <c r="N868" s="49"/>
      <c r="S868" s="49"/>
    </row>
    <row r="869">
      <c r="B869" s="100"/>
      <c r="L869" s="9"/>
      <c r="N869" s="49"/>
      <c r="S869" s="49"/>
    </row>
    <row r="870">
      <c r="B870" s="100"/>
      <c r="L870" s="9"/>
      <c r="N870" s="49"/>
      <c r="S870" s="49"/>
    </row>
    <row r="871">
      <c r="B871" s="100"/>
      <c r="L871" s="9"/>
      <c r="N871" s="49"/>
      <c r="S871" s="49"/>
    </row>
    <row r="872">
      <c r="B872" s="100"/>
      <c r="L872" s="9"/>
      <c r="N872" s="49"/>
      <c r="S872" s="49"/>
    </row>
    <row r="873">
      <c r="B873" s="100"/>
      <c r="L873" s="9"/>
      <c r="N873" s="49"/>
      <c r="S873" s="49"/>
    </row>
    <row r="874">
      <c r="B874" s="100"/>
      <c r="L874" s="9"/>
      <c r="N874" s="49"/>
      <c r="S874" s="49"/>
    </row>
    <row r="875">
      <c r="B875" s="100"/>
      <c r="L875" s="9"/>
      <c r="N875" s="49"/>
      <c r="S875" s="49"/>
    </row>
    <row r="876">
      <c r="B876" s="100"/>
      <c r="L876" s="9"/>
      <c r="N876" s="49"/>
      <c r="S876" s="49"/>
    </row>
    <row r="877">
      <c r="B877" s="100"/>
      <c r="L877" s="9"/>
      <c r="N877" s="49"/>
      <c r="S877" s="49"/>
    </row>
    <row r="878">
      <c r="B878" s="100"/>
      <c r="L878" s="9"/>
      <c r="N878" s="49"/>
      <c r="S878" s="49"/>
    </row>
    <row r="879">
      <c r="B879" s="100"/>
      <c r="L879" s="9"/>
      <c r="N879" s="49"/>
      <c r="S879" s="49"/>
    </row>
    <row r="880">
      <c r="B880" s="100"/>
      <c r="L880" s="9"/>
      <c r="N880" s="49"/>
      <c r="S880" s="49"/>
    </row>
    <row r="881">
      <c r="B881" s="100"/>
      <c r="L881" s="9"/>
      <c r="N881" s="49"/>
      <c r="S881" s="49"/>
    </row>
    <row r="882">
      <c r="B882" s="100"/>
      <c r="L882" s="9"/>
      <c r="N882" s="49"/>
      <c r="S882" s="49"/>
    </row>
    <row r="883">
      <c r="B883" s="100"/>
      <c r="L883" s="9"/>
      <c r="N883" s="49"/>
      <c r="S883" s="49"/>
    </row>
    <row r="884">
      <c r="B884" s="100"/>
      <c r="L884" s="9"/>
      <c r="N884" s="49"/>
      <c r="S884" s="49"/>
    </row>
    <row r="885">
      <c r="B885" s="100"/>
      <c r="L885" s="9"/>
      <c r="N885" s="49"/>
      <c r="S885" s="49"/>
    </row>
    <row r="886">
      <c r="B886" s="100"/>
      <c r="L886" s="9"/>
      <c r="N886" s="49"/>
      <c r="S886" s="49"/>
    </row>
    <row r="887">
      <c r="B887" s="100"/>
      <c r="L887" s="9"/>
      <c r="N887" s="49"/>
      <c r="S887" s="49"/>
    </row>
    <row r="888">
      <c r="B888" s="100"/>
      <c r="L888" s="9"/>
      <c r="N888" s="49"/>
      <c r="S888" s="49"/>
    </row>
    <row r="889">
      <c r="B889" s="100"/>
      <c r="L889" s="9"/>
      <c r="N889" s="49"/>
      <c r="S889" s="49"/>
    </row>
    <row r="890">
      <c r="B890" s="100"/>
      <c r="L890" s="9"/>
      <c r="N890" s="49"/>
      <c r="S890" s="49"/>
    </row>
    <row r="891">
      <c r="B891" s="100"/>
      <c r="L891" s="9"/>
      <c r="N891" s="49"/>
      <c r="S891" s="49"/>
    </row>
    <row r="892">
      <c r="B892" s="100"/>
      <c r="L892" s="9"/>
      <c r="N892" s="49"/>
      <c r="S892" s="49"/>
    </row>
    <row r="893">
      <c r="B893" s="100"/>
      <c r="L893" s="9"/>
      <c r="N893" s="49"/>
      <c r="S893" s="49"/>
    </row>
    <row r="894">
      <c r="B894" s="100"/>
      <c r="L894" s="9"/>
      <c r="N894" s="49"/>
      <c r="S894" s="49"/>
    </row>
    <row r="895">
      <c r="B895" s="100"/>
      <c r="L895" s="9"/>
      <c r="N895" s="49"/>
      <c r="S895" s="49"/>
    </row>
    <row r="896">
      <c r="B896" s="100"/>
      <c r="L896" s="9"/>
      <c r="N896" s="49"/>
      <c r="S896" s="49"/>
    </row>
    <row r="897">
      <c r="B897" s="100"/>
      <c r="L897" s="9"/>
      <c r="N897" s="49"/>
      <c r="S897" s="49"/>
    </row>
    <row r="898">
      <c r="B898" s="100"/>
      <c r="L898" s="9"/>
      <c r="N898" s="49"/>
      <c r="S898" s="49"/>
    </row>
    <row r="899">
      <c r="B899" s="100"/>
      <c r="L899" s="9"/>
      <c r="N899" s="49"/>
      <c r="S899" s="49"/>
    </row>
    <row r="900">
      <c r="B900" s="100"/>
      <c r="L900" s="9"/>
      <c r="N900" s="49"/>
      <c r="S900" s="49"/>
    </row>
    <row r="901">
      <c r="B901" s="100"/>
      <c r="L901" s="9"/>
      <c r="N901" s="49"/>
      <c r="S901" s="49"/>
    </row>
    <row r="902">
      <c r="B902" s="100"/>
      <c r="L902" s="9"/>
      <c r="N902" s="49"/>
      <c r="S902" s="49"/>
    </row>
    <row r="903">
      <c r="B903" s="100"/>
      <c r="L903" s="9"/>
      <c r="N903" s="49"/>
      <c r="S903" s="49"/>
    </row>
    <row r="904">
      <c r="B904" s="100"/>
      <c r="L904" s="9"/>
      <c r="N904" s="49"/>
      <c r="S904" s="49"/>
    </row>
    <row r="905">
      <c r="B905" s="100"/>
      <c r="L905" s="9"/>
      <c r="N905" s="49"/>
      <c r="S905" s="49"/>
    </row>
    <row r="906">
      <c r="B906" s="100"/>
      <c r="L906" s="9"/>
      <c r="N906" s="49"/>
      <c r="S906" s="49"/>
    </row>
    <row r="907">
      <c r="B907" s="100"/>
      <c r="L907" s="9"/>
      <c r="N907" s="49"/>
      <c r="S907" s="49"/>
    </row>
    <row r="908">
      <c r="B908" s="100"/>
      <c r="L908" s="9"/>
      <c r="N908" s="49"/>
      <c r="S908" s="49"/>
    </row>
    <row r="909">
      <c r="B909" s="100"/>
      <c r="L909" s="9"/>
      <c r="N909" s="49"/>
      <c r="S909" s="49"/>
    </row>
    <row r="910">
      <c r="B910" s="100"/>
      <c r="L910" s="9"/>
      <c r="N910" s="49"/>
      <c r="S910" s="49"/>
    </row>
    <row r="911">
      <c r="B911" s="100"/>
      <c r="L911" s="9"/>
      <c r="N911" s="49"/>
      <c r="S911" s="49"/>
    </row>
    <row r="912">
      <c r="B912" s="100"/>
      <c r="L912" s="9"/>
      <c r="N912" s="49"/>
      <c r="S912" s="49"/>
    </row>
    <row r="913">
      <c r="B913" s="100"/>
      <c r="L913" s="9"/>
      <c r="N913" s="49"/>
      <c r="S913" s="49"/>
    </row>
    <row r="914">
      <c r="B914" s="100"/>
      <c r="L914" s="9"/>
      <c r="N914" s="49"/>
      <c r="S914" s="49"/>
    </row>
    <row r="915">
      <c r="B915" s="100"/>
      <c r="L915" s="9"/>
      <c r="N915" s="49"/>
      <c r="S915" s="49"/>
    </row>
    <row r="916">
      <c r="B916" s="100"/>
      <c r="L916" s="9"/>
      <c r="N916" s="49"/>
      <c r="S916" s="49"/>
    </row>
    <row r="917">
      <c r="B917" s="100"/>
      <c r="L917" s="9"/>
      <c r="N917" s="49"/>
      <c r="S917" s="49"/>
    </row>
    <row r="918">
      <c r="B918" s="100"/>
      <c r="L918" s="9"/>
      <c r="N918" s="49"/>
      <c r="S918" s="49"/>
    </row>
    <row r="919">
      <c r="B919" s="100"/>
      <c r="L919" s="9"/>
      <c r="N919" s="49"/>
      <c r="S919" s="49"/>
    </row>
    <row r="920">
      <c r="B920" s="100"/>
      <c r="L920" s="9"/>
      <c r="N920" s="49"/>
      <c r="S920" s="49"/>
    </row>
    <row r="921">
      <c r="B921" s="100"/>
      <c r="L921" s="9"/>
      <c r="N921" s="49"/>
      <c r="S921" s="49"/>
    </row>
    <row r="922">
      <c r="B922" s="100"/>
      <c r="L922" s="9"/>
      <c r="N922" s="49"/>
      <c r="S922" s="49"/>
    </row>
    <row r="923">
      <c r="B923" s="100"/>
      <c r="L923" s="9"/>
      <c r="N923" s="49"/>
      <c r="S923" s="49"/>
    </row>
    <row r="924">
      <c r="B924" s="100"/>
      <c r="L924" s="9"/>
      <c r="N924" s="49"/>
      <c r="S924" s="49"/>
    </row>
    <row r="925">
      <c r="B925" s="100"/>
      <c r="L925" s="9"/>
      <c r="N925" s="49"/>
      <c r="S925" s="49"/>
    </row>
    <row r="926">
      <c r="B926" s="100"/>
      <c r="L926" s="9"/>
      <c r="N926" s="49"/>
      <c r="S926" s="49"/>
    </row>
    <row r="927">
      <c r="B927" s="100"/>
      <c r="L927" s="9"/>
      <c r="N927" s="49"/>
      <c r="S927" s="49"/>
    </row>
    <row r="928">
      <c r="B928" s="100"/>
      <c r="L928" s="9"/>
      <c r="N928" s="49"/>
      <c r="S928" s="49"/>
    </row>
    <row r="929">
      <c r="B929" s="100"/>
      <c r="L929" s="9"/>
      <c r="N929" s="49"/>
      <c r="S929" s="49"/>
    </row>
    <row r="930">
      <c r="B930" s="100"/>
      <c r="L930" s="9"/>
      <c r="N930" s="49"/>
      <c r="S930" s="49"/>
    </row>
    <row r="931">
      <c r="B931" s="100"/>
      <c r="L931" s="9"/>
      <c r="N931" s="49"/>
      <c r="S931" s="49"/>
    </row>
    <row r="932">
      <c r="B932" s="100"/>
      <c r="L932" s="9"/>
      <c r="N932" s="49"/>
      <c r="S932" s="49"/>
    </row>
    <row r="933">
      <c r="B933" s="100"/>
      <c r="L933" s="9"/>
      <c r="N933" s="49"/>
      <c r="S933" s="49"/>
    </row>
    <row r="934">
      <c r="B934" s="100"/>
      <c r="L934" s="9"/>
      <c r="N934" s="49"/>
      <c r="S934" s="49"/>
    </row>
    <row r="935">
      <c r="B935" s="100"/>
      <c r="L935" s="9"/>
      <c r="N935" s="49"/>
      <c r="S935" s="49"/>
    </row>
    <row r="936">
      <c r="B936" s="100"/>
      <c r="L936" s="9"/>
      <c r="N936" s="49"/>
      <c r="S936" s="49"/>
    </row>
    <row r="937">
      <c r="B937" s="100"/>
      <c r="L937" s="9"/>
      <c r="N937" s="49"/>
      <c r="S937" s="49"/>
    </row>
    <row r="938">
      <c r="B938" s="100"/>
      <c r="L938" s="9"/>
      <c r="N938" s="49"/>
      <c r="S938" s="49"/>
    </row>
    <row r="939">
      <c r="B939" s="100"/>
      <c r="L939" s="9"/>
      <c r="N939" s="49"/>
      <c r="S939" s="49"/>
    </row>
    <row r="940">
      <c r="B940" s="100"/>
      <c r="L940" s="9"/>
      <c r="N940" s="49"/>
      <c r="S940" s="49"/>
    </row>
    <row r="941">
      <c r="B941" s="100"/>
      <c r="L941" s="9"/>
      <c r="N941" s="49"/>
      <c r="S941" s="49"/>
    </row>
    <row r="942">
      <c r="B942" s="100"/>
      <c r="L942" s="9"/>
      <c r="N942" s="49"/>
      <c r="S942" s="49"/>
    </row>
    <row r="943">
      <c r="B943" s="100"/>
      <c r="L943" s="9"/>
      <c r="N943" s="49"/>
      <c r="S943" s="49"/>
    </row>
    <row r="944">
      <c r="B944" s="100"/>
      <c r="L944" s="9"/>
      <c r="N944" s="49"/>
      <c r="S944" s="49"/>
    </row>
    <row r="945">
      <c r="B945" s="100"/>
      <c r="L945" s="9"/>
      <c r="N945" s="49"/>
      <c r="S945" s="49"/>
    </row>
    <row r="946">
      <c r="B946" s="100"/>
      <c r="L946" s="9"/>
      <c r="N946" s="49"/>
      <c r="S946" s="49"/>
    </row>
    <row r="947">
      <c r="B947" s="100"/>
      <c r="L947" s="9"/>
      <c r="N947" s="49"/>
      <c r="S947" s="49"/>
    </row>
    <row r="948">
      <c r="B948" s="100"/>
      <c r="L948" s="9"/>
      <c r="N948" s="49"/>
      <c r="S948" s="49"/>
    </row>
    <row r="949">
      <c r="B949" s="100"/>
      <c r="L949" s="9"/>
      <c r="N949" s="49"/>
      <c r="S949" s="49"/>
    </row>
    <row r="950">
      <c r="B950" s="100"/>
      <c r="L950" s="9"/>
      <c r="N950" s="49"/>
      <c r="S950" s="49"/>
    </row>
    <row r="951">
      <c r="B951" s="100"/>
      <c r="L951" s="9"/>
      <c r="N951" s="49"/>
      <c r="S951" s="49"/>
    </row>
    <row r="952">
      <c r="B952" s="100"/>
      <c r="L952" s="9"/>
      <c r="N952" s="49"/>
      <c r="S952" s="49"/>
    </row>
    <row r="953">
      <c r="B953" s="100"/>
      <c r="L953" s="9"/>
      <c r="N953" s="49"/>
      <c r="S953" s="49"/>
    </row>
    <row r="954">
      <c r="B954" s="100"/>
      <c r="L954" s="9"/>
      <c r="N954" s="49"/>
      <c r="S954" s="49"/>
    </row>
    <row r="955">
      <c r="B955" s="100"/>
      <c r="L955" s="9"/>
      <c r="N955" s="49"/>
      <c r="S955" s="49"/>
    </row>
    <row r="956">
      <c r="B956" s="100"/>
      <c r="L956" s="9"/>
      <c r="N956" s="49"/>
      <c r="S956" s="49"/>
    </row>
    <row r="957">
      <c r="B957" s="100"/>
      <c r="L957" s="9"/>
      <c r="N957" s="49"/>
      <c r="S957" s="49"/>
    </row>
    <row r="958">
      <c r="B958" s="100"/>
      <c r="L958" s="9"/>
      <c r="N958" s="49"/>
      <c r="S958" s="49"/>
    </row>
    <row r="959">
      <c r="B959" s="100"/>
      <c r="L959" s="9"/>
      <c r="N959" s="49"/>
      <c r="S959" s="49"/>
    </row>
    <row r="960">
      <c r="B960" s="100"/>
      <c r="L960" s="9"/>
      <c r="N960" s="49"/>
      <c r="S960" s="49"/>
    </row>
    <row r="961">
      <c r="B961" s="100"/>
      <c r="L961" s="9"/>
      <c r="N961" s="49"/>
      <c r="S961" s="49"/>
    </row>
    <row r="962">
      <c r="B962" s="100"/>
      <c r="L962" s="9"/>
      <c r="N962" s="49"/>
      <c r="S962" s="49"/>
    </row>
    <row r="963">
      <c r="B963" s="100"/>
      <c r="L963" s="9"/>
      <c r="N963" s="49"/>
      <c r="S963" s="49"/>
    </row>
    <row r="964">
      <c r="B964" s="100"/>
      <c r="L964" s="9"/>
      <c r="N964" s="49"/>
      <c r="S964" s="49"/>
    </row>
    <row r="965">
      <c r="B965" s="100"/>
      <c r="L965" s="9"/>
      <c r="N965" s="49"/>
      <c r="S965" s="49"/>
    </row>
    <row r="966">
      <c r="B966" s="100"/>
      <c r="L966" s="9"/>
      <c r="N966" s="49"/>
      <c r="S966" s="49"/>
    </row>
    <row r="967">
      <c r="B967" s="100"/>
      <c r="L967" s="9"/>
      <c r="N967" s="49"/>
      <c r="S967" s="49"/>
    </row>
    <row r="968">
      <c r="B968" s="100"/>
      <c r="L968" s="9"/>
      <c r="N968" s="49"/>
      <c r="S968" s="49"/>
    </row>
    <row r="969">
      <c r="B969" s="100"/>
      <c r="L969" s="9"/>
      <c r="N969" s="49"/>
      <c r="S969" s="49"/>
    </row>
    <row r="970">
      <c r="B970" s="100"/>
      <c r="L970" s="9"/>
      <c r="N970" s="49"/>
      <c r="S970" s="49"/>
    </row>
    <row r="971">
      <c r="B971" s="100"/>
      <c r="L971" s="9"/>
      <c r="N971" s="49"/>
      <c r="S971" s="49"/>
    </row>
    <row r="972">
      <c r="B972" s="100"/>
      <c r="L972" s="9"/>
      <c r="N972" s="49"/>
      <c r="S972" s="49"/>
    </row>
    <row r="973">
      <c r="B973" s="100"/>
      <c r="L973" s="9"/>
      <c r="N973" s="49"/>
      <c r="S973" s="49"/>
    </row>
    <row r="974">
      <c r="B974" s="100"/>
      <c r="L974" s="9"/>
      <c r="N974" s="49"/>
      <c r="S974" s="49"/>
    </row>
    <row r="975">
      <c r="B975" s="100"/>
      <c r="L975" s="9"/>
      <c r="N975" s="49"/>
      <c r="S975" s="49"/>
    </row>
    <row r="976">
      <c r="B976" s="100"/>
      <c r="L976" s="9"/>
      <c r="N976" s="49"/>
      <c r="S976" s="49"/>
    </row>
    <row r="977">
      <c r="B977" s="100"/>
      <c r="L977" s="9"/>
      <c r="N977" s="49"/>
      <c r="S977" s="49"/>
    </row>
    <row r="978">
      <c r="B978" s="100"/>
      <c r="L978" s="9"/>
      <c r="N978" s="49"/>
      <c r="S978" s="49"/>
    </row>
    <row r="979">
      <c r="B979" s="100"/>
      <c r="L979" s="9"/>
      <c r="N979" s="49"/>
      <c r="S979" s="49"/>
    </row>
    <row r="980">
      <c r="B980" s="100"/>
      <c r="L980" s="9"/>
      <c r="N980" s="49"/>
      <c r="S980" s="49"/>
    </row>
    <row r="981">
      <c r="B981" s="100"/>
      <c r="L981" s="9"/>
      <c r="N981" s="49"/>
      <c r="S981" s="49"/>
    </row>
    <row r="982">
      <c r="B982" s="100"/>
      <c r="L982" s="9"/>
      <c r="N982" s="49"/>
      <c r="S982" s="49"/>
    </row>
    <row r="983">
      <c r="B983" s="100"/>
      <c r="L983" s="9"/>
      <c r="N983" s="49"/>
      <c r="S983" s="49"/>
    </row>
    <row r="984">
      <c r="B984" s="100"/>
      <c r="L984" s="9"/>
      <c r="N984" s="49"/>
      <c r="S984" s="49"/>
    </row>
    <row r="985">
      <c r="B985" s="100"/>
      <c r="L985" s="9"/>
      <c r="N985" s="49"/>
      <c r="S985" s="49"/>
    </row>
    <row r="986">
      <c r="B986" s="100"/>
      <c r="L986" s="9"/>
      <c r="N986" s="49"/>
      <c r="S986" s="49"/>
    </row>
    <row r="987">
      <c r="B987" s="100"/>
      <c r="L987" s="9"/>
      <c r="N987" s="49"/>
      <c r="S987" s="49"/>
    </row>
    <row r="988">
      <c r="B988" s="100"/>
      <c r="L988" s="9"/>
      <c r="N988" s="49"/>
      <c r="S988" s="49"/>
    </row>
    <row r="989">
      <c r="B989" s="100"/>
      <c r="L989" s="9"/>
      <c r="N989" s="49"/>
      <c r="S989" s="49"/>
    </row>
    <row r="990">
      <c r="B990" s="100"/>
      <c r="L990" s="9"/>
      <c r="N990" s="49"/>
      <c r="S990" s="49"/>
    </row>
    <row r="991">
      <c r="B991" s="100"/>
      <c r="L991" s="9"/>
      <c r="N991" s="49"/>
      <c r="S991" s="49"/>
    </row>
    <row r="992">
      <c r="B992" s="100"/>
      <c r="L992" s="9"/>
      <c r="N992" s="49"/>
      <c r="S992" s="49"/>
    </row>
    <row r="993">
      <c r="B993" s="100"/>
      <c r="L993" s="9"/>
      <c r="N993" s="49"/>
      <c r="S993" s="49"/>
    </row>
    <row r="994">
      <c r="B994" s="100"/>
      <c r="L994" s="9"/>
      <c r="N994" s="49"/>
      <c r="S994" s="49"/>
    </row>
    <row r="995">
      <c r="B995" s="100"/>
      <c r="L995" s="9"/>
      <c r="N995" s="49"/>
      <c r="S995" s="49"/>
    </row>
    <row r="996">
      <c r="B996" s="100"/>
      <c r="L996" s="9"/>
      <c r="N996" s="49"/>
      <c r="S996" s="49"/>
    </row>
    <row r="997">
      <c r="B997" s="100"/>
      <c r="L997" s="9"/>
      <c r="N997" s="49"/>
      <c r="S997" s="49"/>
    </row>
    <row r="998">
      <c r="B998" s="100"/>
      <c r="L998" s="9"/>
      <c r="N998" s="49"/>
      <c r="S998" s="49"/>
    </row>
    <row r="999">
      <c r="B999" s="100"/>
      <c r="L999" s="9"/>
      <c r="N999" s="49"/>
      <c r="S999" s="49"/>
    </row>
    <row r="1000">
      <c r="B1000" s="100"/>
      <c r="L1000" s="9"/>
      <c r="N1000" s="49"/>
      <c r="S1000" s="49"/>
    </row>
    <row r="1001">
      <c r="B1001" s="100"/>
      <c r="L1001" s="9"/>
      <c r="N1001" s="49"/>
      <c r="S1001" s="49"/>
    </row>
    <row r="1002">
      <c r="B1002" s="100"/>
      <c r="L1002" s="9"/>
      <c r="N1002" s="49"/>
      <c r="S1002" s="49"/>
    </row>
    <row r="1003">
      <c r="B1003" s="100"/>
      <c r="L1003" s="9"/>
      <c r="N1003" s="49"/>
      <c r="S1003" s="49"/>
    </row>
    <row r="1004">
      <c r="B1004" s="100"/>
      <c r="L1004" s="9"/>
      <c r="N1004" s="49"/>
      <c r="S1004" s="49"/>
    </row>
    <row r="1005">
      <c r="B1005" s="100"/>
      <c r="L1005" s="9"/>
      <c r="N1005" s="49"/>
      <c r="S1005" s="49"/>
    </row>
    <row r="1006">
      <c r="B1006" s="100"/>
      <c r="L1006" s="9"/>
      <c r="N1006" s="49"/>
      <c r="S1006" s="49"/>
    </row>
    <row r="1007">
      <c r="B1007" s="100"/>
      <c r="L1007" s="9"/>
      <c r="N1007" s="49"/>
      <c r="S1007" s="49"/>
    </row>
    <row r="1008">
      <c r="B1008" s="100"/>
      <c r="L1008" s="9"/>
      <c r="N1008" s="49"/>
      <c r="S1008" s="49"/>
    </row>
    <row r="1009">
      <c r="B1009" s="100"/>
      <c r="L1009" s="9"/>
      <c r="N1009" s="49"/>
      <c r="S1009" s="49"/>
    </row>
    <row r="1010">
      <c r="B1010" s="100"/>
      <c r="L1010" s="9"/>
      <c r="N1010" s="49"/>
      <c r="S1010" s="49"/>
    </row>
    <row r="1011">
      <c r="B1011" s="100"/>
      <c r="L1011" s="9"/>
      <c r="N1011" s="49"/>
      <c r="S1011" s="49"/>
    </row>
    <row r="1012">
      <c r="B1012" s="100"/>
      <c r="L1012" s="9"/>
      <c r="N1012" s="49"/>
      <c r="S1012" s="49"/>
    </row>
    <row r="1013">
      <c r="B1013" s="100"/>
      <c r="L1013" s="9"/>
      <c r="N1013" s="49"/>
      <c r="S1013" s="49"/>
    </row>
    <row r="1014">
      <c r="B1014" s="100"/>
      <c r="L1014" s="9"/>
      <c r="N1014" s="49"/>
      <c r="S1014" s="49"/>
    </row>
    <row r="1015">
      <c r="B1015" s="100"/>
      <c r="L1015" s="9"/>
      <c r="N1015" s="49"/>
      <c r="S1015" s="49"/>
    </row>
    <row r="1016">
      <c r="B1016" s="100"/>
      <c r="L1016" s="9"/>
      <c r="N1016" s="49"/>
      <c r="S1016" s="49"/>
    </row>
    <row r="1017">
      <c r="B1017" s="100"/>
      <c r="L1017" s="9"/>
      <c r="N1017" s="49"/>
      <c r="S1017" s="49"/>
    </row>
    <row r="1018">
      <c r="B1018" s="100"/>
      <c r="L1018" s="9"/>
      <c r="N1018" s="49"/>
      <c r="S1018" s="49"/>
    </row>
    <row r="1019">
      <c r="B1019" s="100"/>
      <c r="L1019" s="9"/>
      <c r="N1019" s="49"/>
      <c r="S1019" s="49"/>
    </row>
    <row r="1020">
      <c r="B1020" s="100"/>
      <c r="L1020" s="9"/>
      <c r="N1020" s="49"/>
      <c r="S1020" s="49"/>
    </row>
    <row r="1021">
      <c r="B1021" s="100"/>
      <c r="L1021" s="9"/>
      <c r="N1021" s="49"/>
      <c r="S1021" s="49"/>
    </row>
    <row r="1022">
      <c r="B1022" s="100"/>
      <c r="L1022" s="9"/>
      <c r="N1022" s="49"/>
      <c r="S1022" s="49"/>
    </row>
    <row r="1023">
      <c r="B1023" s="100"/>
      <c r="L1023" s="9"/>
      <c r="N1023" s="49"/>
      <c r="S1023" s="49"/>
    </row>
    <row r="1024">
      <c r="B1024" s="100"/>
      <c r="L1024" s="9"/>
      <c r="N1024" s="49"/>
      <c r="S1024" s="49"/>
    </row>
    <row r="1025">
      <c r="B1025" s="100"/>
      <c r="L1025" s="9"/>
      <c r="N1025" s="49"/>
      <c r="S1025" s="49"/>
    </row>
    <row r="1026">
      <c r="B1026" s="100"/>
      <c r="L1026" s="9"/>
      <c r="N1026" s="49"/>
      <c r="S1026" s="49"/>
    </row>
    <row r="1027">
      <c r="B1027" s="100"/>
      <c r="L1027" s="9"/>
      <c r="N1027" s="49"/>
      <c r="S1027" s="49"/>
    </row>
    <row r="1028">
      <c r="B1028" s="100"/>
      <c r="L1028" s="9"/>
      <c r="N1028" s="49"/>
      <c r="S1028" s="49"/>
    </row>
    <row r="1029">
      <c r="B1029" s="100"/>
      <c r="L1029" s="9"/>
      <c r="N1029" s="49"/>
      <c r="S1029" s="49"/>
    </row>
    <row r="1030">
      <c r="B1030" s="100"/>
      <c r="L1030" s="9"/>
      <c r="N1030" s="49"/>
      <c r="S1030" s="49"/>
    </row>
    <row r="1031">
      <c r="B1031" s="100"/>
      <c r="L1031" s="9"/>
      <c r="N1031" s="49"/>
      <c r="S1031" s="49"/>
    </row>
    <row r="1032">
      <c r="B1032" s="100"/>
      <c r="L1032" s="9"/>
      <c r="N1032" s="49"/>
      <c r="S1032" s="49"/>
    </row>
    <row r="1033">
      <c r="B1033" s="100"/>
      <c r="L1033" s="9"/>
      <c r="N1033" s="49"/>
      <c r="S1033" s="49"/>
    </row>
    <row r="1034">
      <c r="B1034" s="100"/>
      <c r="L1034" s="9"/>
      <c r="N1034" s="49"/>
      <c r="S1034" s="49"/>
    </row>
    <row r="1035">
      <c r="B1035" s="100"/>
      <c r="L1035" s="9"/>
      <c r="N1035" s="49"/>
      <c r="S1035" s="49"/>
    </row>
    <row r="1036">
      <c r="B1036" s="100"/>
      <c r="L1036" s="9"/>
      <c r="N1036" s="49"/>
      <c r="S1036" s="49"/>
    </row>
    <row r="1037">
      <c r="B1037" s="100"/>
      <c r="L1037" s="9"/>
      <c r="N1037" s="49"/>
      <c r="S1037" s="49"/>
    </row>
    <row r="1038">
      <c r="B1038" s="100"/>
      <c r="L1038" s="9"/>
      <c r="N1038" s="49"/>
      <c r="S1038" s="49"/>
    </row>
    <row r="1039">
      <c r="B1039" s="100"/>
      <c r="L1039" s="9"/>
      <c r="N1039" s="49"/>
      <c r="S1039" s="49"/>
    </row>
    <row r="1040">
      <c r="B1040" s="100"/>
      <c r="L1040" s="9"/>
      <c r="N1040" s="49"/>
      <c r="S1040" s="49"/>
    </row>
    <row r="1041">
      <c r="B1041" s="100"/>
      <c r="L1041" s="9"/>
      <c r="N1041" s="49"/>
      <c r="S1041" s="49"/>
    </row>
    <row r="1042">
      <c r="B1042" s="100"/>
      <c r="L1042" s="9"/>
      <c r="N1042" s="49"/>
      <c r="S1042" s="49"/>
    </row>
    <row r="1043">
      <c r="B1043" s="100"/>
      <c r="L1043" s="9"/>
      <c r="N1043" s="49"/>
      <c r="S1043" s="49"/>
    </row>
    <row r="1044">
      <c r="B1044" s="100"/>
      <c r="L1044" s="9"/>
      <c r="N1044" s="49"/>
      <c r="S1044" s="49"/>
    </row>
    <row r="1045">
      <c r="B1045" s="100"/>
      <c r="L1045" s="9"/>
      <c r="N1045" s="49"/>
      <c r="S1045" s="49"/>
    </row>
    <row r="1046">
      <c r="B1046" s="100"/>
      <c r="L1046" s="9"/>
      <c r="N1046" s="49"/>
      <c r="S1046" s="49"/>
    </row>
    <row r="1047">
      <c r="B1047" s="100"/>
      <c r="L1047" s="9"/>
      <c r="N1047" s="49"/>
      <c r="S1047" s="49"/>
    </row>
    <row r="1048">
      <c r="B1048" s="100"/>
      <c r="L1048" s="9"/>
      <c r="N1048" s="49"/>
      <c r="S1048" s="49"/>
    </row>
    <row r="1049">
      <c r="B1049" s="100"/>
      <c r="L1049" s="9"/>
      <c r="N1049" s="49"/>
      <c r="S1049" s="49"/>
    </row>
    <row r="1050">
      <c r="B1050" s="100"/>
      <c r="L1050" s="9"/>
      <c r="N1050" s="49"/>
      <c r="S1050" s="49"/>
    </row>
    <row r="1051">
      <c r="B1051" s="100"/>
      <c r="L1051" s="9"/>
      <c r="N1051" s="49"/>
      <c r="S1051" s="49"/>
    </row>
    <row r="1052">
      <c r="B1052" s="100"/>
      <c r="L1052" s="9"/>
      <c r="N1052" s="49"/>
      <c r="S1052" s="49"/>
    </row>
    <row r="1053">
      <c r="B1053" s="100"/>
      <c r="L1053" s="9"/>
      <c r="N1053" s="49"/>
      <c r="S1053" s="49"/>
    </row>
    <row r="1054">
      <c r="B1054" s="100"/>
      <c r="L1054" s="9"/>
      <c r="N1054" s="49"/>
      <c r="S1054" s="49"/>
    </row>
    <row r="1055">
      <c r="B1055" s="100"/>
      <c r="L1055" s="9"/>
      <c r="N1055" s="49"/>
      <c r="S1055" s="49"/>
    </row>
    <row r="1056">
      <c r="B1056" s="100"/>
      <c r="L1056" s="9"/>
      <c r="N1056" s="49"/>
      <c r="S1056" s="49"/>
    </row>
    <row r="1057">
      <c r="B1057" s="100"/>
      <c r="L1057" s="9"/>
      <c r="N1057" s="49"/>
      <c r="S1057" s="49"/>
    </row>
  </sheetData>
  <mergeCells count="4">
    <mergeCell ref="P11:Q11"/>
    <mergeCell ref="B329:C329"/>
    <mergeCell ref="A338:B338"/>
    <mergeCell ref="C338:H338"/>
  </mergeCells>
  <conditionalFormatting sqref="B1:B8 A3 A10 B10:B307 B314:B323 C324:C325 C327 B328:B329 B424:B1057">
    <cfRule type="cellIs" dxfId="1" priority="1" operator="equal">
      <formula>"REDEEM"</formula>
    </cfRule>
  </conditionalFormatting>
  <conditionalFormatting sqref="B1:B8 A3 A10 B10:B307 B314:B323 C324:C325 C327 B328:B329 B424:B1057">
    <cfRule type="cellIs" dxfId="0" priority="2" operator="equal">
      <formula>"PURCHASE"</formula>
    </cfRule>
  </conditionalFormatting>
  <conditionalFormatting sqref="B1:B8 A3 A10 B10:B307 B314:B323 C324:C325 C327 B328:B329 B424:B1057">
    <cfRule type="containsText" dxfId="7" priority="3" operator="containsText" text="SWITCH">
      <formula>NOT(ISERROR(SEARCH(("SWITCH"),(B1))))</formula>
    </cfRule>
  </conditionalFormatting>
  <conditionalFormatting sqref="R1:S1057 T1 T196:T1057">
    <cfRule type="notContainsBlanks" dxfId="8" priority="4">
      <formula>LEN(TRIM(R1))&gt;0</formula>
    </cfRule>
  </conditionalFormatting>
  <dataValidations>
    <dataValidation type="custom" allowBlank="1" showDropDown="1" sqref="K317:L321">
      <formula1>AND(ISNUMBER(K317),(NOT(OR(NOT(ISERROR(DATEVALUE(K317))), AND(ISNUMBER(K317), LEFT(CELL("format", K317))="D")))))</formula1>
    </dataValidation>
  </dataValidations>
  <drawing r:id="rId4"/>
  <legacy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18.25"/>
    <col customWidth="1" min="7" max="7" width="16.88"/>
  </cols>
  <sheetData>
    <row r="1">
      <c r="A1" s="113" t="s">
        <v>79</v>
      </c>
    </row>
    <row r="2">
      <c r="A2" s="153"/>
    </row>
    <row r="3" ht="22.5" customHeight="1">
      <c r="A3" s="154" t="s">
        <v>38</v>
      </c>
      <c r="B3" s="155" t="s">
        <v>39</v>
      </c>
      <c r="C3" s="154" t="s">
        <v>40</v>
      </c>
      <c r="D3" s="154" t="s">
        <v>41</v>
      </c>
      <c r="E3" s="154" t="s">
        <v>42</v>
      </c>
      <c r="F3" s="154" t="s">
        <v>43</v>
      </c>
      <c r="G3" s="154" t="s">
        <v>44</v>
      </c>
      <c r="J3" s="8" t="s">
        <v>116</v>
      </c>
      <c r="K3" s="8" t="s">
        <v>116</v>
      </c>
    </row>
    <row r="4" ht="22.5" customHeight="1">
      <c r="A4" s="156" t="s">
        <v>79</v>
      </c>
      <c r="B4" s="156" t="s">
        <v>49</v>
      </c>
      <c r="C4" s="156">
        <v>1.1</v>
      </c>
      <c r="D4" s="156">
        <v>91.63</v>
      </c>
      <c r="E4" s="157">
        <v>101.0</v>
      </c>
      <c r="F4" s="158">
        <v>44152.0</v>
      </c>
      <c r="G4" s="157">
        <v>101.0</v>
      </c>
    </row>
    <row r="5" ht="22.5" customHeight="1">
      <c r="A5" s="156" t="s">
        <v>79</v>
      </c>
      <c r="B5" s="156" t="s">
        <v>46</v>
      </c>
      <c r="C5" s="156">
        <v>1.1</v>
      </c>
      <c r="D5" s="156">
        <v>90.46</v>
      </c>
      <c r="E5" s="157">
        <v>100.0</v>
      </c>
      <c r="F5" s="158">
        <v>44126.0</v>
      </c>
      <c r="G5" s="157">
        <v>-100.0</v>
      </c>
    </row>
    <row r="6" ht="22.5" customHeight="1">
      <c r="A6" s="159" t="s">
        <v>18</v>
      </c>
      <c r="B6" s="160"/>
      <c r="C6" s="160">
        <v>0.0</v>
      </c>
      <c r="D6" s="160"/>
      <c r="E6" s="160"/>
      <c r="F6" s="161"/>
      <c r="G6" s="160"/>
    </row>
    <row r="7">
      <c r="F7" s="45" t="s">
        <v>28</v>
      </c>
      <c r="G7" s="46">
        <v>0.14991420699246585</v>
      </c>
    </row>
    <row r="8">
      <c r="A8" s="113" t="s">
        <v>58</v>
      </c>
    </row>
    <row r="10" ht="22.5" customHeight="1">
      <c r="A10" s="154" t="s">
        <v>38</v>
      </c>
      <c r="B10" s="155" t="s">
        <v>39</v>
      </c>
      <c r="C10" s="154" t="s">
        <v>40</v>
      </c>
      <c r="D10" s="154" t="s">
        <v>41</v>
      </c>
      <c r="E10" s="154" t="s">
        <v>42</v>
      </c>
      <c r="F10" s="154" t="s">
        <v>43</v>
      </c>
      <c r="G10" s="154" t="s">
        <v>44</v>
      </c>
      <c r="H10" s="16"/>
      <c r="I10" s="16"/>
      <c r="J10" s="8" t="s">
        <v>116</v>
      </c>
      <c r="K10" s="8" t="s">
        <v>116</v>
      </c>
    </row>
    <row r="11" ht="22.5" customHeight="1">
      <c r="A11" s="129" t="s">
        <v>58</v>
      </c>
      <c r="B11" s="129" t="s">
        <v>49</v>
      </c>
      <c r="C11" s="128">
        <v>2.55</v>
      </c>
      <c r="D11" s="128">
        <v>3891.11</v>
      </c>
      <c r="E11" s="162">
        <v>9926.0</v>
      </c>
      <c r="F11" s="163">
        <v>45488.0</v>
      </c>
      <c r="G11" s="162">
        <v>9926.0</v>
      </c>
    </row>
    <row r="12" ht="22.5" customHeight="1">
      <c r="A12" s="156" t="s">
        <v>58</v>
      </c>
      <c r="B12" s="156" t="s">
        <v>61</v>
      </c>
      <c r="C12" s="156">
        <v>2.55</v>
      </c>
      <c r="D12" s="156">
        <v>3757.76</v>
      </c>
      <c r="E12" s="157">
        <v>9584.0</v>
      </c>
      <c r="F12" s="158">
        <v>45314.0</v>
      </c>
      <c r="G12" s="157">
        <v>-9584.0</v>
      </c>
    </row>
    <row r="13" ht="22.5" customHeight="1">
      <c r="A13" s="159" t="s">
        <v>18</v>
      </c>
      <c r="B13" s="160"/>
      <c r="C13" s="160"/>
      <c r="D13" s="160"/>
      <c r="E13" s="160"/>
      <c r="F13" s="161"/>
      <c r="G13" s="160"/>
    </row>
    <row r="14">
      <c r="F14" s="45" t="s">
        <v>28</v>
      </c>
      <c r="G14" s="46">
        <f>XIRR(G11:G12,F11:F12)</f>
        <v>0.07632312815</v>
      </c>
    </row>
    <row r="15">
      <c r="A15" s="113" t="s">
        <v>71</v>
      </c>
    </row>
    <row r="17" ht="22.5" customHeight="1">
      <c r="A17" s="154" t="s">
        <v>38</v>
      </c>
      <c r="B17" s="155" t="s">
        <v>39</v>
      </c>
      <c r="C17" s="154" t="s">
        <v>40</v>
      </c>
      <c r="D17" s="154" t="s">
        <v>41</v>
      </c>
      <c r="E17" s="154" t="s">
        <v>42</v>
      </c>
      <c r="F17" s="154" t="s">
        <v>43</v>
      </c>
      <c r="G17" s="154" t="s">
        <v>44</v>
      </c>
      <c r="H17" s="16"/>
      <c r="I17" s="16"/>
      <c r="J17" s="8" t="s">
        <v>116</v>
      </c>
      <c r="K17" s="8" t="s">
        <v>116</v>
      </c>
    </row>
    <row r="18" ht="22.5" customHeight="1">
      <c r="A18" s="156" t="s">
        <v>71</v>
      </c>
      <c r="B18" s="156" t="s">
        <v>63</v>
      </c>
      <c r="C18" s="156">
        <v>3.01</v>
      </c>
      <c r="D18" s="156">
        <v>334.82</v>
      </c>
      <c r="E18" s="157">
        <v>1009.0</v>
      </c>
      <c r="F18" s="158">
        <v>44393.0</v>
      </c>
      <c r="G18" s="157">
        <v>1009.0</v>
      </c>
    </row>
    <row r="19" ht="22.5" customHeight="1">
      <c r="A19" s="156" t="s">
        <v>71</v>
      </c>
      <c r="B19" s="156" t="s">
        <v>46</v>
      </c>
      <c r="C19" s="156">
        <v>3.01</v>
      </c>
      <c r="D19" s="156">
        <v>330.18</v>
      </c>
      <c r="E19" s="157">
        <v>995.0</v>
      </c>
      <c r="F19" s="158">
        <v>44242.0</v>
      </c>
      <c r="G19" s="157">
        <v>-995.0</v>
      </c>
    </row>
    <row r="20" ht="22.5" customHeight="1">
      <c r="A20" s="159" t="s">
        <v>18</v>
      </c>
      <c r="B20" s="160"/>
      <c r="C20" s="160">
        <v>0.0</v>
      </c>
      <c r="D20" s="160"/>
      <c r="E20" s="160"/>
      <c r="F20" s="161"/>
      <c r="G20" s="160"/>
    </row>
    <row r="21">
      <c r="F21" s="45" t="s">
        <v>28</v>
      </c>
      <c r="G21" s="46">
        <v>0.03435088118462057</v>
      </c>
    </row>
    <row r="22">
      <c r="A22" s="113" t="s">
        <v>64</v>
      </c>
    </row>
    <row r="24" ht="22.5" customHeight="1">
      <c r="A24" s="154" t="s">
        <v>38</v>
      </c>
      <c r="B24" s="155" t="s">
        <v>39</v>
      </c>
      <c r="C24" s="154" t="s">
        <v>40</v>
      </c>
      <c r="D24" s="154" t="s">
        <v>41</v>
      </c>
      <c r="E24" s="154" t="s">
        <v>42</v>
      </c>
      <c r="F24" s="154" t="s">
        <v>43</v>
      </c>
      <c r="G24" s="154" t="s">
        <v>44</v>
      </c>
      <c r="H24" s="16"/>
      <c r="I24" s="16"/>
      <c r="J24" s="8" t="s">
        <v>116</v>
      </c>
      <c r="K24" s="8" t="s">
        <v>116</v>
      </c>
    </row>
    <row r="25" ht="22.5" customHeight="1">
      <c r="A25" s="156" t="s">
        <v>64</v>
      </c>
      <c r="B25" s="156" t="s">
        <v>63</v>
      </c>
      <c r="C25" s="156">
        <v>19.19</v>
      </c>
      <c r="D25" s="156">
        <v>71.31</v>
      </c>
      <c r="E25" s="157">
        <v>1368.0</v>
      </c>
      <c r="F25" s="158">
        <v>45310.0</v>
      </c>
      <c r="G25" s="157">
        <v>1368.0</v>
      </c>
    </row>
    <row r="26" ht="22.5" customHeight="1">
      <c r="A26" s="156" t="s">
        <v>64</v>
      </c>
      <c r="B26" s="156" t="s">
        <v>61</v>
      </c>
      <c r="C26" s="156">
        <v>19.19</v>
      </c>
      <c r="D26" s="156">
        <v>53.35</v>
      </c>
      <c r="E26" s="157">
        <v>1023.0</v>
      </c>
      <c r="F26" s="158">
        <v>44526.0</v>
      </c>
      <c r="G26" s="157">
        <v>-1023.0</v>
      </c>
    </row>
    <row r="27" ht="22.5" customHeight="1">
      <c r="A27" s="159" t="s">
        <v>18</v>
      </c>
      <c r="B27" s="160"/>
      <c r="C27" s="160">
        <v>0.0</v>
      </c>
      <c r="D27" s="160"/>
      <c r="E27" s="160"/>
      <c r="F27" s="161"/>
      <c r="G27" s="160"/>
    </row>
    <row r="28">
      <c r="F28" s="45" t="s">
        <v>28</v>
      </c>
      <c r="G28" s="46">
        <v>0.14487665020314927</v>
      </c>
    </row>
    <row r="29">
      <c r="A29" s="113" t="s">
        <v>72</v>
      </c>
    </row>
    <row r="31" ht="22.5" customHeight="1">
      <c r="A31" s="154" t="s">
        <v>38</v>
      </c>
      <c r="B31" s="155" t="s">
        <v>39</v>
      </c>
      <c r="C31" s="154" t="s">
        <v>40</v>
      </c>
      <c r="D31" s="154" t="s">
        <v>41</v>
      </c>
      <c r="E31" s="154" t="s">
        <v>42</v>
      </c>
      <c r="F31" s="154" t="s">
        <v>43</v>
      </c>
      <c r="G31" s="154" t="s">
        <v>44</v>
      </c>
      <c r="H31" s="16"/>
      <c r="I31" s="16"/>
      <c r="J31" s="8" t="s">
        <v>116</v>
      </c>
      <c r="K31" s="8" t="s">
        <v>116</v>
      </c>
    </row>
    <row r="32" ht="22.5" customHeight="1">
      <c r="A32" s="156" t="s">
        <v>72</v>
      </c>
      <c r="B32" s="156" t="s">
        <v>63</v>
      </c>
      <c r="C32" s="156">
        <v>11.4</v>
      </c>
      <c r="D32" s="164">
        <v>89.9</v>
      </c>
      <c r="E32" s="157">
        <v>1024.0</v>
      </c>
      <c r="F32" s="158">
        <v>44524.0</v>
      </c>
      <c r="G32" s="157">
        <v>1024.0</v>
      </c>
    </row>
    <row r="33" ht="22.5" customHeight="1">
      <c r="A33" s="156" t="s">
        <v>72</v>
      </c>
      <c r="B33" s="156" t="s">
        <v>61</v>
      </c>
      <c r="C33" s="156">
        <v>11.4</v>
      </c>
      <c r="D33" s="164">
        <v>88.51</v>
      </c>
      <c r="E33" s="157">
        <v>1009.0</v>
      </c>
      <c r="F33" s="158">
        <v>44393.0</v>
      </c>
      <c r="G33" s="157">
        <v>-1009.0</v>
      </c>
    </row>
    <row r="34" ht="22.5" customHeight="1">
      <c r="A34" s="156" t="s">
        <v>72</v>
      </c>
      <c r="B34" s="156" t="s">
        <v>49</v>
      </c>
      <c r="C34" s="156">
        <v>11.56</v>
      </c>
      <c r="D34" s="164">
        <v>86.06</v>
      </c>
      <c r="E34" s="157">
        <v>995.0</v>
      </c>
      <c r="F34" s="158">
        <v>44242.0</v>
      </c>
      <c r="G34" s="157">
        <v>995.0</v>
      </c>
    </row>
    <row r="35" ht="22.5" customHeight="1">
      <c r="A35" s="156" t="s">
        <v>72</v>
      </c>
      <c r="B35" s="156" t="s">
        <v>46</v>
      </c>
      <c r="C35" s="156">
        <v>11.56</v>
      </c>
      <c r="D35" s="164">
        <v>86.48</v>
      </c>
      <c r="E35" s="157">
        <v>999.0</v>
      </c>
      <c r="F35" s="158">
        <v>44208.0</v>
      </c>
      <c r="G35" s="157">
        <v>-999.0</v>
      </c>
    </row>
    <row r="36" ht="22.5" customHeight="1">
      <c r="A36" s="159" t="s">
        <v>18</v>
      </c>
      <c r="B36" s="160"/>
      <c r="C36" s="160">
        <v>0.0</v>
      </c>
      <c r="D36" s="161"/>
      <c r="E36" s="160"/>
      <c r="F36" s="161"/>
      <c r="G36" s="160"/>
    </row>
    <row r="37">
      <c r="F37" s="45" t="s">
        <v>28</v>
      </c>
      <c r="G37" s="46">
        <v>0.024111204596359067</v>
      </c>
    </row>
    <row r="38">
      <c r="A38" s="113" t="s">
        <v>57</v>
      </c>
    </row>
    <row r="40" ht="22.5" customHeight="1">
      <c r="A40" s="154" t="s">
        <v>38</v>
      </c>
      <c r="B40" s="155" t="s">
        <v>39</v>
      </c>
      <c r="C40" s="154" t="s">
        <v>40</v>
      </c>
      <c r="D40" s="154" t="s">
        <v>41</v>
      </c>
      <c r="E40" s="154" t="s">
        <v>42</v>
      </c>
      <c r="F40" s="154" t="s">
        <v>43</v>
      </c>
      <c r="G40" s="154" t="s">
        <v>44</v>
      </c>
      <c r="H40" s="16"/>
      <c r="I40" s="16"/>
      <c r="J40" s="8" t="s">
        <v>116</v>
      </c>
      <c r="K40" s="8" t="s">
        <v>116</v>
      </c>
    </row>
    <row r="41" ht="22.5" customHeight="1">
      <c r="A41" s="129" t="s">
        <v>57</v>
      </c>
      <c r="B41" s="129" t="s">
        <v>49</v>
      </c>
      <c r="C41" s="128">
        <v>52.61</v>
      </c>
      <c r="D41" s="128">
        <v>365.05</v>
      </c>
      <c r="E41" s="162">
        <v>19203.0</v>
      </c>
      <c r="F41" s="163">
        <v>45488.0</v>
      </c>
      <c r="G41" s="162">
        <v>19203.0</v>
      </c>
    </row>
    <row r="42" ht="22.5" customHeight="1">
      <c r="A42" s="156" t="s">
        <v>57</v>
      </c>
      <c r="B42" s="156" t="s">
        <v>61</v>
      </c>
      <c r="C42" s="156">
        <v>52.61</v>
      </c>
      <c r="D42" s="156">
        <v>352.45</v>
      </c>
      <c r="E42" s="157">
        <v>18541.0</v>
      </c>
      <c r="F42" s="158">
        <v>45314.0</v>
      </c>
      <c r="G42" s="157">
        <v>-18541.0</v>
      </c>
    </row>
    <row r="43" ht="22.5" customHeight="1">
      <c r="A43" s="159" t="s">
        <v>18</v>
      </c>
      <c r="B43" s="160"/>
      <c r="C43" s="160"/>
      <c r="D43" s="160"/>
      <c r="E43" s="160"/>
      <c r="F43" s="161"/>
      <c r="G43" s="160"/>
    </row>
    <row r="44">
      <c r="F44" s="45" t="s">
        <v>28</v>
      </c>
      <c r="G44" s="46">
        <f>XIRR(G41:G42,F41:F42)</f>
        <v>0.07636712219</v>
      </c>
    </row>
    <row r="45">
      <c r="A45" s="113" t="s">
        <v>59</v>
      </c>
    </row>
    <row r="47" ht="22.5" customHeight="1">
      <c r="A47" s="154" t="s">
        <v>38</v>
      </c>
      <c r="B47" s="155" t="s">
        <v>39</v>
      </c>
      <c r="C47" s="154" t="s">
        <v>40</v>
      </c>
      <c r="D47" s="154" t="s">
        <v>41</v>
      </c>
      <c r="E47" s="154" t="s">
        <v>42</v>
      </c>
      <c r="F47" s="154" t="s">
        <v>43</v>
      </c>
      <c r="G47" s="154" t="s">
        <v>44</v>
      </c>
      <c r="H47" s="16"/>
      <c r="I47" s="16"/>
      <c r="J47" s="8" t="s">
        <v>116</v>
      </c>
      <c r="K47" s="8" t="s">
        <v>116</v>
      </c>
    </row>
    <row r="48" ht="22.5" customHeight="1">
      <c r="A48" s="129" t="s">
        <v>59</v>
      </c>
      <c r="B48" s="129" t="s">
        <v>49</v>
      </c>
      <c r="C48" s="128">
        <v>134.49</v>
      </c>
      <c r="D48" s="128">
        <v>10.55</v>
      </c>
      <c r="E48" s="162">
        <v>1419.0</v>
      </c>
      <c r="F48" s="163">
        <v>45488.0</v>
      </c>
      <c r="G48" s="162">
        <v>1419.0</v>
      </c>
    </row>
    <row r="49" ht="22.5" customHeight="1">
      <c r="A49" s="156" t="s">
        <v>59</v>
      </c>
      <c r="B49" s="156" t="s">
        <v>61</v>
      </c>
      <c r="C49" s="156">
        <v>134.49</v>
      </c>
      <c r="D49" s="156">
        <v>10.18</v>
      </c>
      <c r="E49" s="157">
        <v>1368.0</v>
      </c>
      <c r="F49" s="158">
        <v>45315.0</v>
      </c>
      <c r="G49" s="157">
        <v>-1368.0</v>
      </c>
    </row>
    <row r="50" ht="22.5" customHeight="1">
      <c r="A50" s="159" t="s">
        <v>18</v>
      </c>
      <c r="B50" s="160"/>
      <c r="C50" s="160"/>
      <c r="D50" s="160"/>
      <c r="E50" s="160"/>
      <c r="F50" s="161"/>
      <c r="G50" s="160"/>
    </row>
    <row r="51">
      <c r="F51" s="45" t="s">
        <v>28</v>
      </c>
      <c r="G51" s="46">
        <f>XIRR(G48:G49,F48:F49)</f>
        <v>0.08028521515</v>
      </c>
    </row>
    <row r="52">
      <c r="A52" s="113" t="s">
        <v>48</v>
      </c>
    </row>
    <row r="54" ht="22.5" customHeight="1">
      <c r="A54" s="154" t="s">
        <v>38</v>
      </c>
      <c r="B54" s="155" t="s">
        <v>39</v>
      </c>
      <c r="C54" s="154" t="s">
        <v>40</v>
      </c>
      <c r="D54" s="154" t="s">
        <v>41</v>
      </c>
      <c r="E54" s="154" t="s">
        <v>42</v>
      </c>
      <c r="F54" s="154" t="s">
        <v>43</v>
      </c>
      <c r="G54" s="154" t="s">
        <v>44</v>
      </c>
      <c r="H54" s="16"/>
      <c r="I54" s="16"/>
      <c r="J54" s="8" t="s">
        <v>116</v>
      </c>
      <c r="K54" s="8" t="s">
        <v>116</v>
      </c>
    </row>
    <row r="55" ht="22.5" customHeight="1">
      <c r="A55" s="156" t="s">
        <v>48</v>
      </c>
      <c r="B55" s="156" t="s">
        <v>46</v>
      </c>
      <c r="C55" s="156">
        <v>3.68</v>
      </c>
      <c r="D55" s="156">
        <v>27.2</v>
      </c>
      <c r="E55" s="157">
        <v>100.0</v>
      </c>
      <c r="F55" s="165">
        <v>44960.0</v>
      </c>
      <c r="G55" s="157">
        <v>-100.0</v>
      </c>
    </row>
    <row r="56" ht="22.5" customHeight="1">
      <c r="A56" s="156" t="s">
        <v>48</v>
      </c>
      <c r="B56" s="156" t="s">
        <v>46</v>
      </c>
      <c r="C56" s="156">
        <v>3.65</v>
      </c>
      <c r="D56" s="156">
        <v>27.36</v>
      </c>
      <c r="E56" s="157">
        <v>100.0</v>
      </c>
      <c r="F56" s="165">
        <v>45000.0</v>
      </c>
      <c r="G56" s="157">
        <v>-100.0</v>
      </c>
    </row>
    <row r="57" ht="22.5" customHeight="1">
      <c r="A57" s="156" t="s">
        <v>48</v>
      </c>
      <c r="B57" s="156" t="s">
        <v>46</v>
      </c>
      <c r="C57" s="156">
        <v>3.62</v>
      </c>
      <c r="D57" s="156">
        <v>27.65</v>
      </c>
      <c r="E57" s="157">
        <v>100.0</v>
      </c>
      <c r="F57" s="165">
        <v>45033.0</v>
      </c>
      <c r="G57" s="157">
        <v>-100.0</v>
      </c>
    </row>
    <row r="58" ht="22.5" customHeight="1">
      <c r="A58" s="156" t="s">
        <v>48</v>
      </c>
      <c r="B58" s="156" t="s">
        <v>46</v>
      </c>
      <c r="C58" s="156">
        <v>3.59</v>
      </c>
      <c r="D58" s="156">
        <v>27.87</v>
      </c>
      <c r="E58" s="157">
        <v>100.0</v>
      </c>
      <c r="F58" s="165">
        <v>45061.0</v>
      </c>
      <c r="G58" s="157">
        <v>-100.0</v>
      </c>
    </row>
    <row r="59" ht="22.5" customHeight="1">
      <c r="A59" s="156" t="s">
        <v>48</v>
      </c>
      <c r="B59" s="156" t="s">
        <v>46</v>
      </c>
      <c r="C59" s="156">
        <v>3.57</v>
      </c>
      <c r="D59" s="156">
        <v>28.04</v>
      </c>
      <c r="E59" s="157">
        <v>100.0</v>
      </c>
      <c r="F59" s="165">
        <v>45092.0</v>
      </c>
      <c r="G59" s="157">
        <v>-100.0</v>
      </c>
    </row>
    <row r="60" ht="22.5" customHeight="1">
      <c r="A60" s="156" t="s">
        <v>48</v>
      </c>
      <c r="B60" s="156" t="s">
        <v>46</v>
      </c>
      <c r="C60" s="156">
        <v>3.55</v>
      </c>
      <c r="D60" s="156">
        <v>28.2</v>
      </c>
      <c r="E60" s="157">
        <v>100.0</v>
      </c>
      <c r="F60" s="165">
        <v>45124.0</v>
      </c>
      <c r="G60" s="157">
        <v>-100.0</v>
      </c>
    </row>
    <row r="61" ht="22.5" customHeight="1">
      <c r="A61" s="156" t="s">
        <v>48</v>
      </c>
      <c r="B61" s="156" t="s">
        <v>46</v>
      </c>
      <c r="C61" s="156">
        <v>3.53</v>
      </c>
      <c r="D61" s="156">
        <v>28.31</v>
      </c>
      <c r="E61" s="157">
        <v>100.0</v>
      </c>
      <c r="F61" s="165">
        <v>45154.0</v>
      </c>
      <c r="G61" s="157">
        <v>-100.0</v>
      </c>
    </row>
    <row r="62" ht="22.5" customHeight="1">
      <c r="A62" s="156" t="s">
        <v>48</v>
      </c>
      <c r="B62" s="156" t="s">
        <v>46</v>
      </c>
      <c r="C62" s="156">
        <v>3.51</v>
      </c>
      <c r="D62" s="156">
        <v>28.52</v>
      </c>
      <c r="E62" s="157">
        <v>100.0</v>
      </c>
      <c r="F62" s="165">
        <v>45184.0</v>
      </c>
      <c r="G62" s="157">
        <v>-100.0</v>
      </c>
    </row>
    <row r="63" ht="22.5" customHeight="1">
      <c r="A63" s="156" t="s">
        <v>48</v>
      </c>
      <c r="B63" s="156" t="s">
        <v>46</v>
      </c>
      <c r="C63" s="156">
        <v>3.5</v>
      </c>
      <c r="D63" s="156">
        <v>28.58</v>
      </c>
      <c r="E63" s="157">
        <v>100.0</v>
      </c>
      <c r="F63" s="165">
        <v>45215.0</v>
      </c>
      <c r="G63" s="157">
        <v>-100.0</v>
      </c>
    </row>
    <row r="64" ht="22.5" customHeight="1">
      <c r="A64" s="156" t="s">
        <v>48</v>
      </c>
      <c r="B64" s="156" t="s">
        <v>46</v>
      </c>
      <c r="C64" s="156">
        <v>3.47</v>
      </c>
      <c r="D64" s="156">
        <v>28.8</v>
      </c>
      <c r="E64" s="157">
        <v>100.0</v>
      </c>
      <c r="F64" s="165">
        <v>45245.0</v>
      </c>
      <c r="G64" s="157">
        <v>-100.0</v>
      </c>
    </row>
    <row r="65" ht="22.5" customHeight="1">
      <c r="A65" s="156" t="s">
        <v>48</v>
      </c>
      <c r="B65" s="156" t="s">
        <v>46</v>
      </c>
      <c r="C65" s="156">
        <v>3.45</v>
      </c>
      <c r="D65" s="156">
        <v>28.99</v>
      </c>
      <c r="E65" s="157">
        <v>100.0</v>
      </c>
      <c r="F65" s="165">
        <v>45275.0</v>
      </c>
      <c r="G65" s="157">
        <v>-100.0</v>
      </c>
    </row>
    <row r="66" ht="22.5" customHeight="1">
      <c r="A66" s="156" t="s">
        <v>48</v>
      </c>
      <c r="B66" s="156" t="s">
        <v>46</v>
      </c>
      <c r="C66" s="156">
        <v>17.13</v>
      </c>
      <c r="D66" s="156">
        <v>29.19</v>
      </c>
      <c r="E66" s="157">
        <v>499.0</v>
      </c>
      <c r="F66" s="165">
        <v>45307.0</v>
      </c>
      <c r="G66" s="157">
        <v>-499.0</v>
      </c>
    </row>
    <row r="67" ht="22.5" customHeight="1">
      <c r="A67" s="156" t="s">
        <v>48</v>
      </c>
      <c r="B67" s="156" t="s">
        <v>46</v>
      </c>
      <c r="C67" s="156">
        <v>17.01</v>
      </c>
      <c r="D67" s="156">
        <v>29.39</v>
      </c>
      <c r="E67" s="157">
        <v>499.0</v>
      </c>
      <c r="F67" s="165">
        <v>45337.0</v>
      </c>
      <c r="G67" s="157">
        <v>-499.0</v>
      </c>
    </row>
    <row r="68" ht="22.5" customHeight="1">
      <c r="A68" s="156" t="s">
        <v>48</v>
      </c>
      <c r="B68" s="156" t="s">
        <v>46</v>
      </c>
      <c r="C68" s="156">
        <v>16.89</v>
      </c>
      <c r="D68" s="156">
        <v>29.6</v>
      </c>
      <c r="E68" s="157">
        <v>499.0</v>
      </c>
      <c r="F68" s="165">
        <v>45366.0</v>
      </c>
      <c r="G68" s="157">
        <v>-499.0</v>
      </c>
    </row>
    <row r="69" ht="22.5" customHeight="1">
      <c r="A69" s="156" t="s">
        <v>48</v>
      </c>
      <c r="B69" s="156" t="s">
        <v>46</v>
      </c>
      <c r="C69" s="156">
        <v>16.81</v>
      </c>
      <c r="D69" s="156">
        <v>29.74</v>
      </c>
      <c r="E69" s="157">
        <v>499.0</v>
      </c>
      <c r="F69" s="165">
        <v>45398.0</v>
      </c>
      <c r="G69" s="157">
        <v>-499.0</v>
      </c>
    </row>
    <row r="70" ht="22.5" customHeight="1">
      <c r="A70" s="156" t="s">
        <v>48</v>
      </c>
      <c r="B70" s="156" t="s">
        <v>46</v>
      </c>
      <c r="C70" s="156">
        <v>16.69</v>
      </c>
      <c r="D70" s="156">
        <v>29.96</v>
      </c>
      <c r="E70" s="157">
        <v>499.0</v>
      </c>
      <c r="F70" s="165">
        <v>45428.0</v>
      </c>
      <c r="G70" s="157">
        <v>-499.0</v>
      </c>
    </row>
    <row r="71" ht="22.5" customHeight="1">
      <c r="A71" s="156" t="s">
        <v>48</v>
      </c>
      <c r="B71" s="156" t="s">
        <v>46</v>
      </c>
      <c r="C71" s="156">
        <v>16.56</v>
      </c>
      <c r="D71" s="156">
        <v>30.2</v>
      </c>
      <c r="E71" s="157">
        <v>499.0</v>
      </c>
      <c r="F71" s="165">
        <v>45462.0</v>
      </c>
      <c r="G71" s="157">
        <v>-499.0</v>
      </c>
    </row>
    <row r="72" ht="22.5" customHeight="1">
      <c r="A72" s="129" t="s">
        <v>48</v>
      </c>
      <c r="B72" s="129" t="s">
        <v>46</v>
      </c>
      <c r="C72" s="166">
        <v>16.45</v>
      </c>
      <c r="D72" s="128">
        <v>30.39</v>
      </c>
      <c r="E72" s="162">
        <v>499.0</v>
      </c>
      <c r="F72" s="167">
        <v>45489.0</v>
      </c>
      <c r="G72" s="168">
        <v>-499.0</v>
      </c>
    </row>
    <row r="73" ht="22.5" customHeight="1">
      <c r="A73" s="129" t="s">
        <v>48</v>
      </c>
      <c r="B73" s="129" t="s">
        <v>46</v>
      </c>
      <c r="C73" s="166">
        <v>747.59</v>
      </c>
      <c r="D73" s="128">
        <v>30.43</v>
      </c>
      <c r="E73" s="162">
        <v>22748.0</v>
      </c>
      <c r="F73" s="167">
        <v>45495.0</v>
      </c>
      <c r="G73" s="168">
        <v>-22748.0</v>
      </c>
    </row>
    <row r="74" ht="22.5" customHeight="1">
      <c r="A74" s="169" t="s">
        <v>48</v>
      </c>
      <c r="B74" s="127" t="s">
        <v>49</v>
      </c>
      <c r="C74" s="127">
        <v>652.89</v>
      </c>
      <c r="D74" s="127">
        <v>30.63</v>
      </c>
      <c r="E74" s="168">
        <v>20000.0</v>
      </c>
      <c r="F74" s="170">
        <v>45518.0</v>
      </c>
      <c r="G74" s="157">
        <v>20000.0</v>
      </c>
    </row>
    <row r="75" ht="22.5" customHeight="1">
      <c r="A75" s="169" t="s">
        <v>48</v>
      </c>
      <c r="B75" s="169" t="s">
        <v>46</v>
      </c>
      <c r="C75" s="127">
        <v>16.32</v>
      </c>
      <c r="D75" s="127">
        <v>30.64</v>
      </c>
      <c r="E75" s="127">
        <v>499.0</v>
      </c>
      <c r="F75" s="170">
        <v>45520.0</v>
      </c>
      <c r="G75" s="156">
        <v>-499.0</v>
      </c>
    </row>
    <row r="76" ht="22.5" customHeight="1">
      <c r="A76" s="171" t="s">
        <v>48</v>
      </c>
      <c r="B76" s="169" t="s">
        <v>46</v>
      </c>
      <c r="C76" s="126">
        <v>16.18</v>
      </c>
      <c r="D76" s="126">
        <v>30.89</v>
      </c>
      <c r="E76" s="172">
        <v>499.0</v>
      </c>
      <c r="F76" s="173">
        <v>45551.0</v>
      </c>
      <c r="G76" s="156">
        <v>-499.0</v>
      </c>
    </row>
    <row r="77" ht="22.5" customHeight="1">
      <c r="A77" s="171" t="s">
        <v>48</v>
      </c>
      <c r="B77" s="169" t="s">
        <v>46</v>
      </c>
      <c r="C77" s="126">
        <v>16.06</v>
      </c>
      <c r="D77" s="126">
        <v>31.14</v>
      </c>
      <c r="E77" s="172">
        <v>499.0</v>
      </c>
      <c r="F77" s="173">
        <v>45581.0</v>
      </c>
      <c r="G77" s="156">
        <v>-499.0</v>
      </c>
    </row>
    <row r="78" ht="22.5" customHeight="1">
      <c r="A78" s="171" t="s">
        <v>48</v>
      </c>
      <c r="B78" s="169" t="s">
        <v>49</v>
      </c>
      <c r="C78" s="126">
        <v>299.91</v>
      </c>
      <c r="D78" s="126">
        <v>31.16</v>
      </c>
      <c r="E78" s="172">
        <v>9346.0</v>
      </c>
      <c r="F78" s="173">
        <v>45593.0</v>
      </c>
      <c r="G78" s="157">
        <v>9346.0</v>
      </c>
    </row>
    <row r="79" ht="22.5" customHeight="1">
      <c r="A79" s="171" t="s">
        <v>48</v>
      </c>
      <c r="B79" s="169" t="s">
        <v>46</v>
      </c>
      <c r="C79" s="126">
        <v>15.98</v>
      </c>
      <c r="D79" s="126">
        <v>31.29</v>
      </c>
      <c r="E79" s="172">
        <v>499.0</v>
      </c>
      <c r="F79" s="173">
        <v>45614.0</v>
      </c>
      <c r="G79" s="156">
        <v>-499.0</v>
      </c>
    </row>
    <row r="80" ht="22.5" customHeight="1">
      <c r="A80" s="171" t="s">
        <v>48</v>
      </c>
      <c r="B80" s="169" t="s">
        <v>46</v>
      </c>
      <c r="C80" s="126">
        <v>15.88</v>
      </c>
      <c r="D80" s="126">
        <v>31.49</v>
      </c>
      <c r="E80" s="172">
        <v>499.0</v>
      </c>
      <c r="F80" s="173">
        <v>45642.0</v>
      </c>
      <c r="G80" s="156">
        <v>-499.0</v>
      </c>
    </row>
    <row r="81" ht="22.5" customHeight="1">
      <c r="A81" s="174" t="s">
        <v>48</v>
      </c>
      <c r="B81" s="169" t="s">
        <v>46</v>
      </c>
      <c r="C81" s="175">
        <v>15.82</v>
      </c>
      <c r="D81" s="175">
        <v>31.6</v>
      </c>
      <c r="E81" s="176">
        <v>499.0</v>
      </c>
      <c r="F81" s="177">
        <v>45672.0</v>
      </c>
      <c r="G81" s="178">
        <v>-499.0</v>
      </c>
    </row>
    <row r="82" ht="22.5" customHeight="1">
      <c r="A82" s="174" t="s">
        <v>48</v>
      </c>
      <c r="B82" s="169" t="s">
        <v>46</v>
      </c>
      <c r="C82" s="175">
        <v>15.69</v>
      </c>
      <c r="D82" s="175">
        <v>31.87</v>
      </c>
      <c r="E82" s="176">
        <v>499.0</v>
      </c>
      <c r="F82" s="177">
        <v>45705.0</v>
      </c>
      <c r="G82" s="178">
        <v>-499.0</v>
      </c>
    </row>
    <row r="83" ht="22.5" customHeight="1">
      <c r="A83" s="174" t="s">
        <v>48</v>
      </c>
      <c r="B83" s="169" t="s">
        <v>46</v>
      </c>
      <c r="C83" s="175">
        <v>15.62</v>
      </c>
      <c r="D83" s="175">
        <v>32.01</v>
      </c>
      <c r="E83" s="176">
        <v>499.0</v>
      </c>
      <c r="F83" s="177">
        <v>45733.0</v>
      </c>
      <c r="G83" s="178">
        <v>-499.0</v>
      </c>
    </row>
    <row r="84" ht="22.5" customHeight="1">
      <c r="A84" s="174" t="s">
        <v>48</v>
      </c>
      <c r="B84" s="169" t="s">
        <v>49</v>
      </c>
      <c r="C84" s="175">
        <v>78.98</v>
      </c>
      <c r="D84" s="175">
        <v>32.1</v>
      </c>
      <c r="E84" s="176">
        <v>2536.0</v>
      </c>
      <c r="F84" s="177">
        <v>45737.0</v>
      </c>
      <c r="G84" s="178">
        <v>2536.0</v>
      </c>
      <c r="H84" s="75"/>
    </row>
    <row r="85" ht="22.5" customHeight="1">
      <c r="A85" s="171" t="s">
        <v>48</v>
      </c>
      <c r="B85" s="169" t="s">
        <v>46</v>
      </c>
      <c r="C85" s="126">
        <v>15.36</v>
      </c>
      <c r="D85" s="126">
        <v>32.55</v>
      </c>
      <c r="E85" s="172">
        <v>499.0</v>
      </c>
      <c r="F85" s="173">
        <v>45762.0</v>
      </c>
      <c r="G85" s="156">
        <f t="shared" ref="G85:G89" si="1">IF(E85="", "", IF(OR(B85="PURCHASE", B85="SWITCH PURCHASE"), E85*-1, E85))
</f>
        <v>-499</v>
      </c>
      <c r="H85" s="75"/>
    </row>
    <row r="86" ht="22.5" customHeight="1">
      <c r="A86" s="171" t="s">
        <v>48</v>
      </c>
      <c r="B86" s="169" t="s">
        <v>46</v>
      </c>
      <c r="C86" s="126">
        <v>15.21</v>
      </c>
      <c r="D86" s="126">
        <v>32.88</v>
      </c>
      <c r="E86" s="172">
        <v>499.0</v>
      </c>
      <c r="F86" s="173">
        <v>45792.0</v>
      </c>
      <c r="G86" s="156">
        <f t="shared" si="1"/>
        <v>-499</v>
      </c>
      <c r="H86" s="75"/>
    </row>
    <row r="87" ht="22.5" customHeight="1">
      <c r="A87" s="171" t="s">
        <v>48</v>
      </c>
      <c r="B87" s="169" t="s">
        <v>49</v>
      </c>
      <c r="C87" s="126">
        <v>30.57</v>
      </c>
      <c r="D87" s="126">
        <v>33.18</v>
      </c>
      <c r="E87" s="172">
        <v>1014.0</v>
      </c>
      <c r="F87" s="173">
        <v>45817.0</v>
      </c>
      <c r="G87" s="157">
        <f t="shared" si="1"/>
        <v>1014</v>
      </c>
      <c r="H87" s="75"/>
    </row>
    <row r="88" ht="22.5" customHeight="1">
      <c r="A88" s="171" t="s">
        <v>48</v>
      </c>
      <c r="B88" s="169" t="s">
        <v>46</v>
      </c>
      <c r="C88" s="126">
        <v>15.11</v>
      </c>
      <c r="D88" s="126">
        <v>33.09</v>
      </c>
      <c r="E88" s="172">
        <v>499.0</v>
      </c>
      <c r="F88" s="173">
        <v>45824.0</v>
      </c>
      <c r="G88" s="156">
        <f t="shared" si="1"/>
        <v>-499</v>
      </c>
    </row>
    <row r="89" ht="22.5" customHeight="1">
      <c r="A89" s="171" t="s">
        <v>48</v>
      </c>
      <c r="B89" s="169" t="s">
        <v>46</v>
      </c>
      <c r="C89" s="126">
        <v>15.02</v>
      </c>
      <c r="D89" s="126">
        <v>33.29</v>
      </c>
      <c r="E89" s="172">
        <v>499.0</v>
      </c>
      <c r="F89" s="173">
        <v>45853.0</v>
      </c>
      <c r="G89" s="156">
        <f t="shared" si="1"/>
        <v>-499</v>
      </c>
    </row>
    <row r="90" ht="22.5" customHeight="1">
      <c r="A90" s="171" t="s">
        <v>48</v>
      </c>
      <c r="B90" s="169" t="s">
        <v>46</v>
      </c>
      <c r="C90" s="126">
        <v>14.98</v>
      </c>
      <c r="D90" s="126">
        <v>33.37</v>
      </c>
      <c r="E90" s="172">
        <v>499.0</v>
      </c>
      <c r="F90" s="173">
        <v>45887.0</v>
      </c>
      <c r="G90" s="156">
        <v>-499.0</v>
      </c>
    </row>
    <row r="91" ht="22.5" customHeight="1">
      <c r="A91" s="171" t="s">
        <v>48</v>
      </c>
      <c r="B91" s="169" t="s">
        <v>46</v>
      </c>
      <c r="C91" s="126">
        <v>14.93</v>
      </c>
      <c r="D91" s="126">
        <v>33.48</v>
      </c>
      <c r="E91" s="172">
        <v>499.0</v>
      </c>
      <c r="F91" s="173">
        <v>45915.0</v>
      </c>
      <c r="G91" s="156">
        <v>-499.0</v>
      </c>
    </row>
    <row r="92" ht="22.5" customHeight="1">
      <c r="A92" s="171" t="s">
        <v>48</v>
      </c>
      <c r="B92" s="169" t="s">
        <v>46</v>
      </c>
      <c r="C92" s="126">
        <v>14.8</v>
      </c>
      <c r="D92" s="126">
        <v>33.77</v>
      </c>
      <c r="E92" s="172">
        <v>499.0</v>
      </c>
      <c r="F92" s="173">
        <v>45945.0</v>
      </c>
      <c r="G92" s="156">
        <v>-499.0</v>
      </c>
    </row>
    <row r="93" ht="22.5" customHeight="1">
      <c r="A93" s="171" t="s">
        <v>48</v>
      </c>
      <c r="B93" s="169" t="s">
        <v>46</v>
      </c>
      <c r="C93" s="126">
        <v>14.71</v>
      </c>
      <c r="D93" s="126">
        <v>33.98</v>
      </c>
      <c r="E93" s="172">
        <v>499.0</v>
      </c>
      <c r="F93" s="173">
        <v>45978.0</v>
      </c>
      <c r="G93" s="156">
        <v>-499.0</v>
      </c>
    </row>
    <row r="94" ht="22.5" customHeight="1">
      <c r="A94" s="171" t="s">
        <v>48</v>
      </c>
      <c r="B94" s="169" t="s">
        <v>46</v>
      </c>
      <c r="C94" s="126">
        <v>14.69</v>
      </c>
      <c r="D94" s="126">
        <v>34.03</v>
      </c>
      <c r="E94" s="172">
        <v>499.0</v>
      </c>
      <c r="F94" s="173">
        <v>46006.0</v>
      </c>
      <c r="G94" s="156">
        <v>-499.0</v>
      </c>
    </row>
    <row r="95" ht="22.5" customHeight="1">
      <c r="A95" s="159" t="s">
        <v>18</v>
      </c>
      <c r="B95" s="160"/>
      <c r="C95" s="160">
        <f>'MF holdings and transactions'!I321</f>
        <v>104.252</v>
      </c>
      <c r="D95" s="160">
        <f>'MF holdings and transactions'!G321</f>
        <v>34.11</v>
      </c>
      <c r="E95" s="160"/>
      <c r="F95" s="179">
        <f>TODAY()</f>
        <v>46048</v>
      </c>
      <c r="G95" s="180">
        <f>'MF holdings and transactions'!K321</f>
        <v>3556.03572</v>
      </c>
    </row>
    <row r="96">
      <c r="F96" s="45" t="s">
        <v>28</v>
      </c>
      <c r="G96" s="46">
        <f>XIRR(G55:G95,F55:F95)</f>
        <v>0.08837502716</v>
      </c>
    </row>
    <row r="97">
      <c r="A97" s="113" t="s">
        <v>70</v>
      </c>
    </row>
    <row r="98">
      <c r="H98" s="16"/>
      <c r="I98" s="16"/>
      <c r="J98" s="8" t="s">
        <v>116</v>
      </c>
      <c r="K98" s="8" t="s">
        <v>116</v>
      </c>
    </row>
    <row r="99" ht="22.5" customHeight="1">
      <c r="A99" s="154" t="s">
        <v>38</v>
      </c>
      <c r="B99" s="155" t="s">
        <v>39</v>
      </c>
      <c r="C99" s="154" t="s">
        <v>40</v>
      </c>
      <c r="D99" s="154" t="s">
        <v>41</v>
      </c>
      <c r="E99" s="154" t="s">
        <v>42</v>
      </c>
      <c r="F99" s="154" t="s">
        <v>43</v>
      </c>
      <c r="G99" s="154" t="s">
        <v>44</v>
      </c>
    </row>
    <row r="100" ht="22.5" customHeight="1">
      <c r="A100" s="129" t="s">
        <v>53</v>
      </c>
      <c r="B100" s="129" t="s">
        <v>49</v>
      </c>
      <c r="C100" s="128">
        <v>62.06</v>
      </c>
      <c r="D100" s="128">
        <v>126.35</v>
      </c>
      <c r="E100" s="181">
        <v>7784.0</v>
      </c>
      <c r="F100" s="182">
        <v>45491.0</v>
      </c>
      <c r="G100" s="168">
        <v>7784.0</v>
      </c>
    </row>
    <row r="101" ht="22.5" customHeight="1">
      <c r="A101" s="129" t="s">
        <v>53</v>
      </c>
      <c r="B101" s="129" t="s">
        <v>46</v>
      </c>
      <c r="C101" s="166">
        <v>3.92</v>
      </c>
      <c r="D101" s="128">
        <v>127.43</v>
      </c>
      <c r="E101" s="181">
        <v>499.0</v>
      </c>
      <c r="F101" s="182">
        <v>45489.0</v>
      </c>
      <c r="G101" s="168">
        <v>-499.0</v>
      </c>
    </row>
    <row r="102" ht="22.5" customHeight="1">
      <c r="A102" s="156" t="s">
        <v>70</v>
      </c>
      <c r="B102" s="156" t="s">
        <v>46</v>
      </c>
      <c r="C102" s="156">
        <v>4.03</v>
      </c>
      <c r="D102" s="156">
        <v>124.0</v>
      </c>
      <c r="E102" s="157">
        <v>499.0</v>
      </c>
      <c r="F102" s="158">
        <v>45462.0</v>
      </c>
      <c r="G102" s="157">
        <v>-499.0</v>
      </c>
    </row>
    <row r="103" ht="22.5" customHeight="1">
      <c r="A103" s="156" t="s">
        <v>70</v>
      </c>
      <c r="B103" s="156" t="s">
        <v>46</v>
      </c>
      <c r="C103" s="156">
        <v>4.42</v>
      </c>
      <c r="D103" s="156">
        <v>113.17</v>
      </c>
      <c r="E103" s="157">
        <v>499.0</v>
      </c>
      <c r="F103" s="158">
        <v>45428.0</v>
      </c>
      <c r="G103" s="157">
        <v>-499.0</v>
      </c>
    </row>
    <row r="104" ht="22.5" customHeight="1">
      <c r="A104" s="156" t="s">
        <v>70</v>
      </c>
      <c r="B104" s="156" t="s">
        <v>46</v>
      </c>
      <c r="C104" s="156">
        <v>4.72</v>
      </c>
      <c r="D104" s="156">
        <v>105.98</v>
      </c>
      <c r="E104" s="157">
        <v>499.0</v>
      </c>
      <c r="F104" s="158">
        <v>45398.0</v>
      </c>
      <c r="G104" s="157">
        <v>-499.0</v>
      </c>
    </row>
    <row r="105" ht="22.5" customHeight="1">
      <c r="A105" s="156" t="s">
        <v>70</v>
      </c>
      <c r="B105" s="156" t="s">
        <v>46</v>
      </c>
      <c r="C105" s="156">
        <v>4.98</v>
      </c>
      <c r="D105" s="156">
        <v>100.32</v>
      </c>
      <c r="E105" s="157">
        <v>499.0</v>
      </c>
      <c r="F105" s="158">
        <v>45369.0</v>
      </c>
      <c r="G105" s="157">
        <v>-499.0</v>
      </c>
    </row>
    <row r="106" ht="22.5" customHeight="1">
      <c r="A106" s="156" t="s">
        <v>70</v>
      </c>
      <c r="B106" s="156" t="s">
        <v>46</v>
      </c>
      <c r="C106" s="156">
        <v>4.97</v>
      </c>
      <c r="D106" s="156">
        <v>100.52</v>
      </c>
      <c r="E106" s="157">
        <v>499.0</v>
      </c>
      <c r="F106" s="158">
        <v>45337.0</v>
      </c>
      <c r="G106" s="157">
        <v>-499.0</v>
      </c>
    </row>
    <row r="107" ht="22.5" customHeight="1">
      <c r="A107" s="156" t="s">
        <v>70</v>
      </c>
      <c r="B107" s="156" t="s">
        <v>46</v>
      </c>
      <c r="C107" s="156">
        <v>5.03</v>
      </c>
      <c r="D107" s="156">
        <v>99.38</v>
      </c>
      <c r="E107" s="157">
        <v>499.0</v>
      </c>
      <c r="F107" s="158">
        <v>45306.0</v>
      </c>
      <c r="G107" s="157">
        <v>-499.0</v>
      </c>
    </row>
    <row r="108" ht="22.5" customHeight="1">
      <c r="A108" s="156" t="s">
        <v>70</v>
      </c>
      <c r="B108" s="156" t="s">
        <v>46</v>
      </c>
      <c r="C108" s="156">
        <v>5.14</v>
      </c>
      <c r="D108" s="156">
        <v>97.19</v>
      </c>
      <c r="E108" s="157">
        <v>499.0</v>
      </c>
      <c r="F108" s="158">
        <v>45275.0</v>
      </c>
      <c r="G108" s="157">
        <v>-499.0</v>
      </c>
    </row>
    <row r="109" ht="22.5" customHeight="1">
      <c r="A109" s="156" t="s">
        <v>70</v>
      </c>
      <c r="B109" s="156" t="s">
        <v>46</v>
      </c>
      <c r="C109" s="156">
        <v>5.51</v>
      </c>
      <c r="D109" s="156">
        <v>90.8</v>
      </c>
      <c r="E109" s="157">
        <v>499.0</v>
      </c>
      <c r="F109" s="158">
        <v>45245.0</v>
      </c>
      <c r="G109" s="157">
        <v>-499.0</v>
      </c>
    </row>
    <row r="110" ht="22.5" customHeight="1">
      <c r="A110" s="156" t="s">
        <v>70</v>
      </c>
      <c r="B110" s="156" t="s">
        <v>46</v>
      </c>
      <c r="C110" s="156">
        <v>2.21</v>
      </c>
      <c r="D110" s="156">
        <v>90.49</v>
      </c>
      <c r="E110" s="157">
        <v>199.0</v>
      </c>
      <c r="F110" s="158">
        <v>45215.0</v>
      </c>
      <c r="G110" s="157">
        <v>-199.0</v>
      </c>
    </row>
    <row r="111" ht="22.5" customHeight="1">
      <c r="A111" s="156" t="s">
        <v>70</v>
      </c>
      <c r="B111" s="156" t="s">
        <v>46</v>
      </c>
      <c r="C111" s="156">
        <v>2.21</v>
      </c>
      <c r="D111" s="156">
        <v>90.41</v>
      </c>
      <c r="E111" s="157">
        <v>199.0</v>
      </c>
      <c r="F111" s="158">
        <v>45184.0</v>
      </c>
      <c r="G111" s="157">
        <v>-199.0</v>
      </c>
    </row>
    <row r="112" ht="22.5" customHeight="1">
      <c r="A112" s="156" t="s">
        <v>70</v>
      </c>
      <c r="B112" s="156" t="s">
        <v>46</v>
      </c>
      <c r="C112" s="156">
        <v>2.31</v>
      </c>
      <c r="D112" s="156">
        <v>86.54</v>
      </c>
      <c r="E112" s="157">
        <v>199.0</v>
      </c>
      <c r="F112" s="158">
        <v>45154.0</v>
      </c>
      <c r="G112" s="157">
        <v>-199.0</v>
      </c>
    </row>
    <row r="113" ht="22.5" customHeight="1">
      <c r="A113" s="156" t="s">
        <v>70</v>
      </c>
      <c r="B113" s="156" t="s">
        <v>46</v>
      </c>
      <c r="C113" s="156">
        <v>2.34</v>
      </c>
      <c r="D113" s="156">
        <v>85.63</v>
      </c>
      <c r="E113" s="157">
        <v>199.0</v>
      </c>
      <c r="F113" s="158">
        <v>45124.0</v>
      </c>
      <c r="G113" s="157">
        <v>-199.0</v>
      </c>
    </row>
    <row r="114" ht="22.5" customHeight="1">
      <c r="A114" s="156" t="s">
        <v>70</v>
      </c>
      <c r="B114" s="156" t="s">
        <v>46</v>
      </c>
      <c r="C114" s="156">
        <v>2.39</v>
      </c>
      <c r="D114" s="156">
        <v>83.63</v>
      </c>
      <c r="E114" s="157">
        <v>199.0</v>
      </c>
      <c r="F114" s="158">
        <v>45092.0</v>
      </c>
      <c r="G114" s="157">
        <v>-199.0</v>
      </c>
    </row>
    <row r="115" ht="22.5" customHeight="1">
      <c r="A115" s="156" t="s">
        <v>70</v>
      </c>
      <c r="B115" s="156" t="s">
        <v>46</v>
      </c>
      <c r="C115" s="156">
        <v>2.55</v>
      </c>
      <c r="D115" s="156">
        <v>78.55</v>
      </c>
      <c r="E115" s="157">
        <v>199.0</v>
      </c>
      <c r="F115" s="158">
        <v>45061.0</v>
      </c>
      <c r="G115" s="157">
        <v>-199.0</v>
      </c>
    </row>
    <row r="116" ht="22.5" customHeight="1">
      <c r="A116" s="156" t="s">
        <v>70</v>
      </c>
      <c r="B116" s="156" t="s">
        <v>46</v>
      </c>
      <c r="C116" s="156">
        <v>2.67</v>
      </c>
      <c r="D116" s="156">
        <v>74.81</v>
      </c>
      <c r="E116" s="157">
        <v>199.0</v>
      </c>
      <c r="F116" s="158">
        <v>45033.0</v>
      </c>
      <c r="G116" s="157">
        <v>-199.0</v>
      </c>
    </row>
    <row r="117" ht="22.5" customHeight="1">
      <c r="A117" s="156" t="s">
        <v>70</v>
      </c>
      <c r="B117" s="156" t="s">
        <v>46</v>
      </c>
      <c r="C117" s="156">
        <v>2.65</v>
      </c>
      <c r="D117" s="156">
        <v>75.55</v>
      </c>
      <c r="E117" s="157">
        <v>199.0</v>
      </c>
      <c r="F117" s="158">
        <v>44977.0</v>
      </c>
      <c r="G117" s="157">
        <v>-199.0</v>
      </c>
    </row>
    <row r="118" ht="22.5" customHeight="1">
      <c r="A118" s="156" t="s">
        <v>70</v>
      </c>
      <c r="B118" s="156" t="s">
        <v>63</v>
      </c>
      <c r="C118" s="156">
        <v>102.16</v>
      </c>
      <c r="D118" s="156">
        <v>77.87</v>
      </c>
      <c r="E118" s="157">
        <v>7955.0</v>
      </c>
      <c r="F118" s="158">
        <v>44524.0</v>
      </c>
      <c r="G118" s="157">
        <v>7955.0</v>
      </c>
    </row>
    <row r="119" ht="22.5" customHeight="1">
      <c r="A119" s="156" t="s">
        <v>70</v>
      </c>
      <c r="B119" s="156" t="s">
        <v>46</v>
      </c>
      <c r="C119" s="156">
        <v>6.13</v>
      </c>
      <c r="D119" s="156">
        <v>81.5</v>
      </c>
      <c r="E119" s="157">
        <v>499.0</v>
      </c>
      <c r="F119" s="158">
        <v>44515.0</v>
      </c>
      <c r="G119" s="157">
        <v>-499.0</v>
      </c>
    </row>
    <row r="120" ht="22.5" customHeight="1">
      <c r="A120" s="156" t="s">
        <v>70</v>
      </c>
      <c r="B120" s="156" t="s">
        <v>46</v>
      </c>
      <c r="C120" s="156">
        <v>6.11</v>
      </c>
      <c r="D120" s="156">
        <v>81.84</v>
      </c>
      <c r="E120" s="157">
        <v>499.0</v>
      </c>
      <c r="F120" s="158">
        <v>44487.0</v>
      </c>
      <c r="G120" s="157">
        <v>-499.0</v>
      </c>
    </row>
    <row r="121" ht="22.5" customHeight="1">
      <c r="A121" s="156" t="s">
        <v>70</v>
      </c>
      <c r="B121" s="156" t="s">
        <v>46</v>
      </c>
      <c r="C121" s="156">
        <v>6.43</v>
      </c>
      <c r="D121" s="156">
        <v>77.7</v>
      </c>
      <c r="E121" s="157">
        <v>499.0</v>
      </c>
      <c r="F121" s="158">
        <v>44454.0</v>
      </c>
      <c r="G121" s="157">
        <v>-499.0</v>
      </c>
    </row>
    <row r="122" ht="22.5" customHeight="1">
      <c r="A122" s="156" t="s">
        <v>70</v>
      </c>
      <c r="B122" s="156" t="s">
        <v>46</v>
      </c>
      <c r="C122" s="156">
        <v>7.03</v>
      </c>
      <c r="D122" s="156">
        <v>71.14</v>
      </c>
      <c r="E122" s="157">
        <v>499.0</v>
      </c>
      <c r="F122" s="158">
        <v>44424.0</v>
      </c>
      <c r="G122" s="157">
        <v>-499.0</v>
      </c>
    </row>
    <row r="123" ht="22.5" customHeight="1">
      <c r="A123" s="156" t="s">
        <v>70</v>
      </c>
      <c r="B123" s="156" t="s">
        <v>46</v>
      </c>
      <c r="C123" s="156">
        <v>7.17</v>
      </c>
      <c r="D123" s="156">
        <v>69.71</v>
      </c>
      <c r="E123" s="157">
        <v>499.0</v>
      </c>
      <c r="F123" s="158">
        <v>44392.0</v>
      </c>
      <c r="G123" s="157">
        <v>-499.0</v>
      </c>
    </row>
    <row r="124" ht="22.5" customHeight="1">
      <c r="A124" s="156" t="s">
        <v>70</v>
      </c>
      <c r="B124" s="156" t="s">
        <v>46</v>
      </c>
      <c r="C124" s="156">
        <v>7.44</v>
      </c>
      <c r="D124" s="156">
        <v>67.22</v>
      </c>
      <c r="E124" s="157">
        <v>499.0</v>
      </c>
      <c r="F124" s="158">
        <v>44362.0</v>
      </c>
      <c r="G124" s="157">
        <v>-499.0</v>
      </c>
    </row>
    <row r="125" ht="22.5" customHeight="1">
      <c r="A125" s="156" t="s">
        <v>70</v>
      </c>
      <c r="B125" s="156" t="s">
        <v>46</v>
      </c>
      <c r="C125" s="156">
        <v>8.06</v>
      </c>
      <c r="D125" s="156">
        <v>62.06</v>
      </c>
      <c r="E125" s="157">
        <v>499.0</v>
      </c>
      <c r="F125" s="158">
        <v>44333.0</v>
      </c>
      <c r="G125" s="157">
        <v>-499.0</v>
      </c>
    </row>
    <row r="126" ht="22.5" customHeight="1">
      <c r="A126" s="156" t="s">
        <v>70</v>
      </c>
      <c r="B126" s="156" t="s">
        <v>46</v>
      </c>
      <c r="C126" s="156">
        <v>8.41</v>
      </c>
      <c r="D126" s="156">
        <v>59.47</v>
      </c>
      <c r="E126" s="157">
        <v>499.0</v>
      </c>
      <c r="F126" s="158">
        <v>44301.0</v>
      </c>
      <c r="G126" s="157">
        <v>-499.0</v>
      </c>
    </row>
    <row r="127" ht="22.5" customHeight="1">
      <c r="A127" s="156" t="s">
        <v>70</v>
      </c>
      <c r="B127" s="156" t="s">
        <v>46</v>
      </c>
      <c r="C127" s="156">
        <v>8.17</v>
      </c>
      <c r="D127" s="156">
        <v>61.23</v>
      </c>
      <c r="E127" s="157">
        <v>499.0</v>
      </c>
      <c r="F127" s="158">
        <v>44270.0</v>
      </c>
      <c r="G127" s="157">
        <v>-499.0</v>
      </c>
    </row>
    <row r="128" ht="22.5" customHeight="1">
      <c r="A128" s="156" t="s">
        <v>70</v>
      </c>
      <c r="B128" s="156" t="s">
        <v>46</v>
      </c>
      <c r="C128" s="156">
        <v>8.35</v>
      </c>
      <c r="D128" s="156">
        <v>59.91</v>
      </c>
      <c r="E128" s="157">
        <v>499.0</v>
      </c>
      <c r="F128" s="158">
        <v>44242.0</v>
      </c>
      <c r="G128" s="157">
        <v>-499.0</v>
      </c>
    </row>
    <row r="129" ht="22.5" customHeight="1">
      <c r="A129" s="156" t="s">
        <v>70</v>
      </c>
      <c r="B129" s="156" t="s">
        <v>46</v>
      </c>
      <c r="C129" s="156">
        <v>8.9</v>
      </c>
      <c r="D129" s="156">
        <v>56.2</v>
      </c>
      <c r="E129" s="157">
        <v>499.0</v>
      </c>
      <c r="F129" s="158">
        <v>44211.0</v>
      </c>
      <c r="G129" s="157">
        <v>-499.0</v>
      </c>
    </row>
    <row r="130" ht="22.5" customHeight="1">
      <c r="A130" s="156" t="s">
        <v>70</v>
      </c>
      <c r="B130" s="156" t="s">
        <v>46</v>
      </c>
      <c r="C130" s="156">
        <v>9.3</v>
      </c>
      <c r="D130" s="156">
        <v>53.76</v>
      </c>
      <c r="E130" s="157">
        <v>499.0</v>
      </c>
      <c r="F130" s="158">
        <v>44180.0</v>
      </c>
      <c r="G130" s="157">
        <v>-499.0</v>
      </c>
    </row>
    <row r="131" ht="22.5" customHeight="1">
      <c r="A131" s="156" t="s">
        <v>70</v>
      </c>
      <c r="B131" s="156" t="s">
        <v>46</v>
      </c>
      <c r="C131" s="156">
        <v>10.67</v>
      </c>
      <c r="D131" s="156">
        <v>46.84</v>
      </c>
      <c r="E131" s="157">
        <v>499.0</v>
      </c>
      <c r="F131" s="158">
        <v>44126.0</v>
      </c>
      <c r="G131" s="157">
        <v>-499.0</v>
      </c>
    </row>
    <row r="132" ht="22.5" customHeight="1">
      <c r="A132" s="159" t="s">
        <v>18</v>
      </c>
      <c r="B132" s="160"/>
      <c r="C132" s="160"/>
      <c r="D132" s="160"/>
      <c r="E132" s="183"/>
      <c r="F132" s="184"/>
      <c r="G132" s="183"/>
    </row>
    <row r="133">
      <c r="F133" s="45" t="s">
        <v>28</v>
      </c>
      <c r="G133" s="46">
        <f>XIRR(G100:G131,F100:F131)</f>
        <v>0.4763432758</v>
      </c>
    </row>
    <row r="134">
      <c r="A134" s="113" t="s">
        <v>65</v>
      </c>
    </row>
    <row r="135">
      <c r="H135" s="16"/>
      <c r="I135" s="16"/>
      <c r="J135" s="8" t="s">
        <v>116</v>
      </c>
      <c r="K135" s="8" t="s">
        <v>116</v>
      </c>
    </row>
    <row r="136" ht="22.5" customHeight="1">
      <c r="A136" s="154" t="s">
        <v>38</v>
      </c>
      <c r="B136" s="155" t="s">
        <v>39</v>
      </c>
      <c r="C136" s="154" t="s">
        <v>40</v>
      </c>
      <c r="D136" s="154" t="s">
        <v>41</v>
      </c>
      <c r="E136" s="154" t="s">
        <v>42</v>
      </c>
      <c r="F136" s="154" t="s">
        <v>43</v>
      </c>
      <c r="G136" s="154" t="s">
        <v>44</v>
      </c>
    </row>
    <row r="137" ht="22.5" customHeight="1">
      <c r="A137" s="156" t="s">
        <v>65</v>
      </c>
      <c r="B137" s="156" t="s">
        <v>63</v>
      </c>
      <c r="C137" s="156">
        <v>194.61</v>
      </c>
      <c r="D137" s="156">
        <v>49.25</v>
      </c>
      <c r="E137" s="157">
        <v>9585.0</v>
      </c>
      <c r="F137" s="158">
        <v>45310.0</v>
      </c>
      <c r="G137" s="157">
        <v>9585.0</v>
      </c>
    </row>
    <row r="138" ht="22.5" customHeight="1">
      <c r="A138" s="156" t="s">
        <v>65</v>
      </c>
      <c r="B138" s="156" t="s">
        <v>46</v>
      </c>
      <c r="C138" s="156">
        <v>4.23</v>
      </c>
      <c r="D138" s="156">
        <v>47.26</v>
      </c>
      <c r="E138" s="157">
        <v>199.0</v>
      </c>
      <c r="F138" s="158">
        <v>45275.0</v>
      </c>
      <c r="G138" s="157">
        <v>-199.0</v>
      </c>
    </row>
    <row r="139" ht="22.5" customHeight="1">
      <c r="A139" s="156" t="s">
        <v>65</v>
      </c>
      <c r="B139" s="156" t="s">
        <v>46</v>
      </c>
      <c r="C139" s="156">
        <v>4.67</v>
      </c>
      <c r="D139" s="156">
        <v>42.83</v>
      </c>
      <c r="E139" s="157">
        <v>199.0</v>
      </c>
      <c r="F139" s="158">
        <v>45245.0</v>
      </c>
      <c r="G139" s="157">
        <v>-199.0</v>
      </c>
    </row>
    <row r="140" ht="22.5" customHeight="1">
      <c r="A140" s="156" t="s">
        <v>65</v>
      </c>
      <c r="B140" s="156" t="s">
        <v>46</v>
      </c>
      <c r="C140" s="156">
        <v>4.84</v>
      </c>
      <c r="D140" s="156">
        <v>41.3</v>
      </c>
      <c r="E140" s="157">
        <v>199.0</v>
      </c>
      <c r="F140" s="158">
        <v>45215.0</v>
      </c>
      <c r="G140" s="157">
        <v>-199.0</v>
      </c>
    </row>
    <row r="141" ht="22.5" customHeight="1">
      <c r="A141" s="156" t="s">
        <v>65</v>
      </c>
      <c r="B141" s="156" t="s">
        <v>46</v>
      </c>
      <c r="C141" s="156">
        <v>4.69</v>
      </c>
      <c r="D141" s="156">
        <v>42.67</v>
      </c>
      <c r="E141" s="157">
        <v>199.0</v>
      </c>
      <c r="F141" s="158">
        <v>45184.0</v>
      </c>
      <c r="G141" s="157">
        <v>-199.0</v>
      </c>
    </row>
    <row r="142" ht="22.5" customHeight="1">
      <c r="A142" s="156" t="s">
        <v>65</v>
      </c>
      <c r="B142" s="156" t="s">
        <v>46</v>
      </c>
      <c r="C142" s="156">
        <v>5.03</v>
      </c>
      <c r="D142" s="156">
        <v>39.76</v>
      </c>
      <c r="E142" s="157">
        <v>199.0</v>
      </c>
      <c r="F142" s="158">
        <v>45154.0</v>
      </c>
      <c r="G142" s="157">
        <v>-199.0</v>
      </c>
    </row>
    <row r="143" ht="22.5" customHeight="1">
      <c r="A143" s="156" t="s">
        <v>65</v>
      </c>
      <c r="B143" s="156" t="s">
        <v>46</v>
      </c>
      <c r="C143" s="156">
        <v>5.04</v>
      </c>
      <c r="D143" s="156">
        <v>39.69</v>
      </c>
      <c r="E143" s="157">
        <v>199.0</v>
      </c>
      <c r="F143" s="158">
        <v>45124.0</v>
      </c>
      <c r="G143" s="157">
        <v>-199.0</v>
      </c>
    </row>
    <row r="144" ht="22.5" customHeight="1">
      <c r="A144" s="156" t="s">
        <v>65</v>
      </c>
      <c r="B144" s="156" t="s">
        <v>46</v>
      </c>
      <c r="C144" s="156">
        <v>5.39</v>
      </c>
      <c r="D144" s="156">
        <v>37.08</v>
      </c>
      <c r="E144" s="157">
        <v>199.0</v>
      </c>
      <c r="F144" s="158">
        <v>45092.0</v>
      </c>
      <c r="G144" s="157">
        <v>-199.0</v>
      </c>
    </row>
    <row r="145" ht="22.5" customHeight="1">
      <c r="A145" s="156" t="s">
        <v>65</v>
      </c>
      <c r="B145" s="156" t="s">
        <v>46</v>
      </c>
      <c r="C145" s="156">
        <v>5.63</v>
      </c>
      <c r="D145" s="156">
        <v>35.52</v>
      </c>
      <c r="E145" s="157">
        <v>199.0</v>
      </c>
      <c r="F145" s="158">
        <v>45061.0</v>
      </c>
      <c r="G145" s="157">
        <v>-199.0</v>
      </c>
    </row>
    <row r="146" ht="22.5" customHeight="1">
      <c r="A146" s="156" t="s">
        <v>65</v>
      </c>
      <c r="B146" s="156" t="s">
        <v>46</v>
      </c>
      <c r="C146" s="156">
        <v>5.91</v>
      </c>
      <c r="D146" s="156">
        <v>33.84</v>
      </c>
      <c r="E146" s="157">
        <v>199.0</v>
      </c>
      <c r="F146" s="158">
        <v>45033.0</v>
      </c>
      <c r="G146" s="157">
        <v>-199.0</v>
      </c>
    </row>
    <row r="147" ht="22.5" customHeight="1">
      <c r="A147" s="156" t="s">
        <v>65</v>
      </c>
      <c r="B147" s="156" t="s">
        <v>46</v>
      </c>
      <c r="C147" s="156">
        <v>5.69</v>
      </c>
      <c r="D147" s="156">
        <v>35.15</v>
      </c>
      <c r="E147" s="157">
        <v>199.0</v>
      </c>
      <c r="F147" s="158">
        <v>45000.0</v>
      </c>
      <c r="G147" s="157">
        <v>-199.0</v>
      </c>
    </row>
    <row r="148" ht="22.5" customHeight="1">
      <c r="A148" s="156" t="s">
        <v>65</v>
      </c>
      <c r="B148" s="156" t="s">
        <v>46</v>
      </c>
      <c r="C148" s="156">
        <v>5.33</v>
      </c>
      <c r="D148" s="156">
        <v>37.55</v>
      </c>
      <c r="E148" s="157">
        <v>199.0</v>
      </c>
      <c r="F148" s="158">
        <v>44972.0</v>
      </c>
      <c r="G148" s="157">
        <v>-199.0</v>
      </c>
    </row>
    <row r="149" ht="22.5" customHeight="1">
      <c r="A149" s="156" t="s">
        <v>65</v>
      </c>
      <c r="B149" s="156" t="s">
        <v>46</v>
      </c>
      <c r="C149" s="156">
        <v>5.53</v>
      </c>
      <c r="D149" s="156">
        <v>36.19</v>
      </c>
      <c r="E149" s="157">
        <v>199.0</v>
      </c>
      <c r="F149" s="158">
        <v>44942.0</v>
      </c>
      <c r="G149" s="157">
        <v>-199.0</v>
      </c>
    </row>
    <row r="150" ht="22.5" customHeight="1">
      <c r="A150" s="156" t="s">
        <v>65</v>
      </c>
      <c r="B150" s="156" t="s">
        <v>46</v>
      </c>
      <c r="C150" s="156">
        <v>5.63</v>
      </c>
      <c r="D150" s="156">
        <v>35.52</v>
      </c>
      <c r="E150" s="157">
        <v>199.0</v>
      </c>
      <c r="F150" s="158">
        <v>44910.0</v>
      </c>
      <c r="G150" s="157">
        <v>-199.0</v>
      </c>
    </row>
    <row r="151" ht="22.5" customHeight="1">
      <c r="A151" s="156" t="s">
        <v>65</v>
      </c>
      <c r="B151" s="156" t="s">
        <v>46</v>
      </c>
      <c r="C151" s="156">
        <v>5.41</v>
      </c>
      <c r="D151" s="156">
        <v>36.99</v>
      </c>
      <c r="E151" s="157">
        <v>199.0</v>
      </c>
      <c r="F151" s="158">
        <v>44880.0</v>
      </c>
      <c r="G151" s="157">
        <v>-199.0</v>
      </c>
    </row>
    <row r="152" ht="22.5" customHeight="1">
      <c r="A152" s="156" t="s">
        <v>65</v>
      </c>
      <c r="B152" s="156" t="s">
        <v>46</v>
      </c>
      <c r="C152" s="156">
        <v>5.71</v>
      </c>
      <c r="D152" s="156">
        <v>34.99</v>
      </c>
      <c r="E152" s="157">
        <v>199.0</v>
      </c>
      <c r="F152" s="158">
        <v>44851.0</v>
      </c>
      <c r="G152" s="157">
        <v>-199.0</v>
      </c>
    </row>
    <row r="153" ht="22.5" customHeight="1">
      <c r="A153" s="156" t="s">
        <v>65</v>
      </c>
      <c r="B153" s="156" t="s">
        <v>46</v>
      </c>
      <c r="C153" s="156">
        <v>5.76</v>
      </c>
      <c r="D153" s="156">
        <v>34.7</v>
      </c>
      <c r="E153" s="157">
        <v>199.0</v>
      </c>
      <c r="F153" s="158">
        <v>44819.0</v>
      </c>
      <c r="G153" s="157">
        <v>-199.0</v>
      </c>
    </row>
    <row r="154" ht="22.5" customHeight="1">
      <c r="A154" s="156" t="s">
        <v>65</v>
      </c>
      <c r="B154" s="156" t="s">
        <v>46</v>
      </c>
      <c r="C154" s="156">
        <v>5.49</v>
      </c>
      <c r="D154" s="156">
        <v>36.45</v>
      </c>
      <c r="E154" s="157">
        <v>199.0</v>
      </c>
      <c r="F154" s="158">
        <v>44789.0</v>
      </c>
      <c r="G154" s="157">
        <v>-199.0</v>
      </c>
    </row>
    <row r="155" ht="22.5" customHeight="1">
      <c r="A155" s="156" t="s">
        <v>65</v>
      </c>
      <c r="B155" s="156" t="s">
        <v>46</v>
      </c>
      <c r="C155" s="156">
        <v>5.96</v>
      </c>
      <c r="D155" s="156">
        <v>33.57</v>
      </c>
      <c r="E155" s="157">
        <v>199.0</v>
      </c>
      <c r="F155" s="158">
        <v>44760.0</v>
      </c>
      <c r="G155" s="157">
        <v>-199.0</v>
      </c>
    </row>
    <row r="156" ht="22.5" customHeight="1">
      <c r="A156" s="156" t="s">
        <v>65</v>
      </c>
      <c r="B156" s="156" t="s">
        <v>46</v>
      </c>
      <c r="C156" s="156">
        <v>29.0</v>
      </c>
      <c r="D156" s="156">
        <v>34.48</v>
      </c>
      <c r="E156" s="157">
        <v>999.0</v>
      </c>
      <c r="F156" s="158">
        <v>44750.0</v>
      </c>
      <c r="G156" s="157">
        <v>-999.0</v>
      </c>
    </row>
    <row r="157" ht="22.5" customHeight="1">
      <c r="A157" s="156" t="s">
        <v>65</v>
      </c>
      <c r="B157" s="156" t="s">
        <v>46</v>
      </c>
      <c r="C157" s="156">
        <v>5.95</v>
      </c>
      <c r="D157" s="156">
        <v>33.61</v>
      </c>
      <c r="E157" s="157">
        <v>199.0</v>
      </c>
      <c r="F157" s="158">
        <v>44727.0</v>
      </c>
      <c r="G157" s="157">
        <v>-199.0</v>
      </c>
    </row>
    <row r="158" ht="22.5" customHeight="1">
      <c r="A158" s="156" t="s">
        <v>65</v>
      </c>
      <c r="B158" s="156" t="s">
        <v>46</v>
      </c>
      <c r="C158" s="156">
        <v>5.7</v>
      </c>
      <c r="D158" s="156">
        <v>35.06</v>
      </c>
      <c r="E158" s="157">
        <v>199.0</v>
      </c>
      <c r="F158" s="158">
        <v>44697.0</v>
      </c>
      <c r="G158" s="157">
        <v>-199.0</v>
      </c>
    </row>
    <row r="159" ht="22.5" customHeight="1">
      <c r="A159" s="156" t="s">
        <v>65</v>
      </c>
      <c r="B159" s="156" t="s">
        <v>46</v>
      </c>
      <c r="C159" s="156">
        <v>5.08</v>
      </c>
      <c r="D159" s="156">
        <v>39.33</v>
      </c>
      <c r="E159" s="157">
        <v>199.0</v>
      </c>
      <c r="F159" s="158">
        <v>44669.0</v>
      </c>
      <c r="G159" s="157">
        <v>-199.0</v>
      </c>
    </row>
    <row r="160" ht="22.5" customHeight="1">
      <c r="A160" s="156" t="s">
        <v>65</v>
      </c>
      <c r="B160" s="156" t="s">
        <v>46</v>
      </c>
      <c r="C160" s="156">
        <v>4.88</v>
      </c>
      <c r="D160" s="156">
        <v>40.94</v>
      </c>
      <c r="E160" s="157">
        <v>199.0</v>
      </c>
      <c r="F160" s="158">
        <v>44635.0</v>
      </c>
      <c r="G160" s="157">
        <v>-199.0</v>
      </c>
    </row>
    <row r="161" ht="22.5" customHeight="1">
      <c r="A161" s="156" t="s">
        <v>65</v>
      </c>
      <c r="B161" s="156" t="s">
        <v>46</v>
      </c>
      <c r="C161" s="156">
        <v>4.91</v>
      </c>
      <c r="D161" s="156">
        <v>40.75</v>
      </c>
      <c r="E161" s="157">
        <v>199.0</v>
      </c>
      <c r="F161" s="158">
        <v>44607.0</v>
      </c>
      <c r="G161" s="157">
        <v>-199.0</v>
      </c>
    </row>
    <row r="162" ht="22.5" customHeight="1">
      <c r="A162" s="156" t="s">
        <v>65</v>
      </c>
      <c r="B162" s="156" t="s">
        <v>46</v>
      </c>
      <c r="C162" s="156">
        <v>4.42</v>
      </c>
      <c r="D162" s="156">
        <v>45.22</v>
      </c>
      <c r="E162" s="157">
        <v>199.0</v>
      </c>
      <c r="F162" s="158">
        <v>44578.0</v>
      </c>
      <c r="G162" s="157">
        <v>-199.0</v>
      </c>
    </row>
    <row r="163" ht="22.5" customHeight="1">
      <c r="A163" s="156" t="s">
        <v>65</v>
      </c>
      <c r="B163" s="156" t="s">
        <v>46</v>
      </c>
      <c r="C163" s="156">
        <v>4.74</v>
      </c>
      <c r="D163" s="156">
        <v>42.21</v>
      </c>
      <c r="E163" s="157">
        <v>199.0</v>
      </c>
      <c r="F163" s="158">
        <v>44545.0</v>
      </c>
      <c r="G163" s="157">
        <v>-199.0</v>
      </c>
    </row>
    <row r="164" ht="22.5" customHeight="1">
      <c r="A164" s="156" t="s">
        <v>65</v>
      </c>
      <c r="B164" s="156" t="s">
        <v>46</v>
      </c>
      <c r="C164" s="156">
        <v>4.64</v>
      </c>
      <c r="D164" s="156">
        <v>43.1</v>
      </c>
      <c r="E164" s="157">
        <v>199.0</v>
      </c>
      <c r="F164" s="158">
        <v>44515.0</v>
      </c>
      <c r="G164" s="157">
        <v>-199.0</v>
      </c>
    </row>
    <row r="165" ht="22.5" customHeight="1">
      <c r="A165" s="156" t="s">
        <v>65</v>
      </c>
      <c r="B165" s="156" t="s">
        <v>46</v>
      </c>
      <c r="C165" s="156">
        <v>4.65</v>
      </c>
      <c r="D165" s="156">
        <v>42.99</v>
      </c>
      <c r="E165" s="157">
        <v>199.0</v>
      </c>
      <c r="F165" s="158">
        <v>44487.0</v>
      </c>
      <c r="G165" s="157">
        <v>-199.0</v>
      </c>
    </row>
    <row r="166" ht="22.5" customHeight="1">
      <c r="A166" s="156" t="s">
        <v>65</v>
      </c>
      <c r="B166" s="156" t="s">
        <v>46</v>
      </c>
      <c r="C166" s="156">
        <v>4.82</v>
      </c>
      <c r="D166" s="156">
        <v>41.53</v>
      </c>
      <c r="E166" s="157">
        <v>199.0</v>
      </c>
      <c r="F166" s="158">
        <v>44454.0</v>
      </c>
      <c r="G166" s="157">
        <v>-199.0</v>
      </c>
    </row>
    <row r="167" ht="22.5" customHeight="1">
      <c r="A167" s="156" t="s">
        <v>65</v>
      </c>
      <c r="B167" s="156" t="s">
        <v>46</v>
      </c>
      <c r="C167" s="156">
        <v>5.39</v>
      </c>
      <c r="D167" s="156">
        <v>37.07</v>
      </c>
      <c r="E167" s="157">
        <v>199.0</v>
      </c>
      <c r="F167" s="158">
        <v>44420.0</v>
      </c>
      <c r="G167" s="157">
        <v>-199.0</v>
      </c>
    </row>
    <row r="168" ht="22.5" customHeight="1">
      <c r="A168" s="156" t="s">
        <v>65</v>
      </c>
      <c r="B168" s="156" t="s">
        <v>46</v>
      </c>
      <c r="C168" s="156">
        <v>14.48</v>
      </c>
      <c r="D168" s="156">
        <v>34.54</v>
      </c>
      <c r="E168" s="157">
        <v>499.0</v>
      </c>
      <c r="F168" s="158">
        <v>44393.0</v>
      </c>
      <c r="G168" s="157">
        <v>-499.0</v>
      </c>
    </row>
    <row r="169" ht="22.5" customHeight="1">
      <c r="A169" s="156" t="s">
        <v>65</v>
      </c>
      <c r="B169" s="156" t="s">
        <v>49</v>
      </c>
      <c r="C169" s="156">
        <v>22.38</v>
      </c>
      <c r="D169" s="156">
        <v>22.16</v>
      </c>
      <c r="E169" s="157">
        <v>495.0</v>
      </c>
      <c r="F169" s="158">
        <v>44162.0</v>
      </c>
      <c r="G169" s="157">
        <v>495.0</v>
      </c>
    </row>
    <row r="170" ht="22.5" customHeight="1">
      <c r="A170" s="156" t="s">
        <v>65</v>
      </c>
      <c r="B170" s="156" t="s">
        <v>46</v>
      </c>
      <c r="C170" s="156">
        <v>22.38</v>
      </c>
      <c r="D170" s="156">
        <v>22.34</v>
      </c>
      <c r="E170" s="157">
        <v>499.0</v>
      </c>
      <c r="F170" s="158">
        <v>44126.0</v>
      </c>
      <c r="G170" s="157">
        <v>-499.0</v>
      </c>
    </row>
    <row r="171" ht="22.5" customHeight="1">
      <c r="A171" s="159" t="s">
        <v>18</v>
      </c>
      <c r="B171" s="160"/>
      <c r="C171" s="160">
        <v>-5.684341886080802E-14</v>
      </c>
      <c r="D171" s="160"/>
      <c r="E171" s="183"/>
      <c r="F171" s="184"/>
      <c r="G171" s="183"/>
    </row>
    <row r="172">
      <c r="F172" s="45" t="s">
        <v>28</v>
      </c>
      <c r="G172" s="46">
        <v>0.21102948016729375</v>
      </c>
    </row>
    <row r="173">
      <c r="A173" s="113" t="s">
        <v>77</v>
      </c>
    </row>
    <row r="174">
      <c r="H174" s="16"/>
      <c r="I174" s="16"/>
      <c r="J174" s="8" t="s">
        <v>116</v>
      </c>
      <c r="K174" s="8" t="s">
        <v>116</v>
      </c>
    </row>
    <row r="175">
      <c r="A175" s="6" t="s">
        <v>38</v>
      </c>
      <c r="B175" s="60" t="s">
        <v>39</v>
      </c>
      <c r="C175" s="45" t="s">
        <v>40</v>
      </c>
      <c r="D175" s="45" t="s">
        <v>41</v>
      </c>
      <c r="E175" s="45" t="s">
        <v>42</v>
      </c>
      <c r="F175" s="45" t="s">
        <v>43</v>
      </c>
      <c r="G175" s="45" t="s">
        <v>44</v>
      </c>
    </row>
    <row r="176">
      <c r="A176" s="76"/>
      <c r="B176" s="76"/>
      <c r="C176" s="76"/>
      <c r="D176" s="76"/>
      <c r="E176" s="79"/>
      <c r="F176" s="35"/>
      <c r="G176" s="79"/>
    </row>
    <row r="177" ht="22.5" customHeight="1">
      <c r="A177" s="185" t="s">
        <v>77</v>
      </c>
      <c r="B177" s="185" t="s">
        <v>63</v>
      </c>
      <c r="C177" s="185" t="s">
        <v>117</v>
      </c>
      <c r="D177" s="185" t="s">
        <v>118</v>
      </c>
      <c r="E177" s="186" t="s">
        <v>119</v>
      </c>
      <c r="F177" s="187" t="s">
        <v>120</v>
      </c>
      <c r="G177" s="186" t="s">
        <v>121</v>
      </c>
    </row>
    <row r="178" ht="22.5" customHeight="1">
      <c r="A178" s="156" t="s">
        <v>77</v>
      </c>
      <c r="B178" s="156" t="s">
        <v>46</v>
      </c>
      <c r="C178" s="156">
        <v>35.37</v>
      </c>
      <c r="D178" s="156">
        <v>14.14</v>
      </c>
      <c r="E178" s="157">
        <v>499.0</v>
      </c>
      <c r="F178" s="158">
        <v>44362.0</v>
      </c>
      <c r="G178" s="157">
        <v>-499.0</v>
      </c>
    </row>
    <row r="179" ht="22.5" customHeight="1">
      <c r="A179" s="156" t="s">
        <v>77</v>
      </c>
      <c r="B179" s="156" t="s">
        <v>46</v>
      </c>
      <c r="C179" s="156">
        <v>36.08</v>
      </c>
      <c r="D179" s="156">
        <v>13.86</v>
      </c>
      <c r="E179" s="157">
        <v>499.0</v>
      </c>
      <c r="F179" s="158">
        <v>44333.0</v>
      </c>
      <c r="G179" s="157">
        <v>-499.0</v>
      </c>
    </row>
    <row r="180" ht="22.5" customHeight="1">
      <c r="A180" s="156" t="s">
        <v>77</v>
      </c>
      <c r="B180" s="156" t="s">
        <v>46</v>
      </c>
      <c r="C180" s="156">
        <v>35.65</v>
      </c>
      <c r="D180" s="156">
        <v>14.02</v>
      </c>
      <c r="E180" s="157">
        <v>499.0</v>
      </c>
      <c r="F180" s="158">
        <v>44301.0</v>
      </c>
      <c r="G180" s="157">
        <v>-499.0</v>
      </c>
    </row>
    <row r="181" ht="22.5" customHeight="1">
      <c r="A181" s="156" t="s">
        <v>77</v>
      </c>
      <c r="B181" s="156" t="s">
        <v>46</v>
      </c>
      <c r="C181" s="156">
        <v>38.6</v>
      </c>
      <c r="D181" s="156">
        <v>12.95</v>
      </c>
      <c r="E181" s="157">
        <v>499.0</v>
      </c>
      <c r="F181" s="158">
        <v>44270.0</v>
      </c>
      <c r="G181" s="157">
        <v>-499.0</v>
      </c>
    </row>
    <row r="182" ht="22.5" customHeight="1">
      <c r="A182" s="156" t="s">
        <v>77</v>
      </c>
      <c r="B182" s="156" t="s">
        <v>46</v>
      </c>
      <c r="C182" s="156">
        <v>38.65</v>
      </c>
      <c r="D182" s="156">
        <v>12.94</v>
      </c>
      <c r="E182" s="157">
        <v>499.0</v>
      </c>
      <c r="F182" s="158">
        <v>44242.0</v>
      </c>
      <c r="G182" s="157">
        <v>-499.0</v>
      </c>
    </row>
    <row r="183" ht="22.5" customHeight="1">
      <c r="A183" s="156" t="s">
        <v>77</v>
      </c>
      <c r="B183" s="156" t="s">
        <v>46</v>
      </c>
      <c r="C183" s="156">
        <v>40.57</v>
      </c>
      <c r="D183" s="156">
        <v>12.32</v>
      </c>
      <c r="E183" s="157">
        <v>499.0</v>
      </c>
      <c r="F183" s="158">
        <v>44181.0</v>
      </c>
      <c r="G183" s="157">
        <v>-499.0</v>
      </c>
    </row>
    <row r="184" ht="22.5" customHeight="1">
      <c r="A184" s="156" t="s">
        <v>77</v>
      </c>
      <c r="B184" s="156" t="s">
        <v>46</v>
      </c>
      <c r="C184" s="156">
        <v>40.81</v>
      </c>
      <c r="D184" s="156">
        <v>12.25</v>
      </c>
      <c r="E184" s="157">
        <v>499.0</v>
      </c>
      <c r="F184" s="158">
        <v>44169.0</v>
      </c>
      <c r="G184" s="157">
        <v>-499.0</v>
      </c>
    </row>
    <row r="185" ht="22.5" customHeight="1">
      <c r="A185" s="159" t="s">
        <v>18</v>
      </c>
      <c r="B185" s="160"/>
      <c r="C185" s="160">
        <v>0.0</v>
      </c>
      <c r="D185" s="160"/>
      <c r="E185" s="160"/>
      <c r="F185" s="161"/>
      <c r="G185" s="160"/>
    </row>
    <row r="186">
      <c r="F186" s="45" t="s">
        <v>28</v>
      </c>
      <c r="G186" s="46">
        <v>0.34843260988691027</v>
      </c>
    </row>
    <row r="187">
      <c r="A187" s="113" t="s">
        <v>54</v>
      </c>
    </row>
    <row r="188">
      <c r="H188" s="16"/>
      <c r="I188" s="16"/>
      <c r="J188" s="8" t="s">
        <v>116</v>
      </c>
      <c r="K188" s="8" t="s">
        <v>116</v>
      </c>
    </row>
    <row r="189" ht="22.5" customHeight="1">
      <c r="A189" s="154" t="s">
        <v>38</v>
      </c>
      <c r="B189" s="155" t="s">
        <v>39</v>
      </c>
      <c r="C189" s="154" t="s">
        <v>40</v>
      </c>
      <c r="D189" s="154" t="s">
        <v>41</v>
      </c>
      <c r="E189" s="154" t="s">
        <v>42</v>
      </c>
      <c r="F189" s="154" t="s">
        <v>43</v>
      </c>
      <c r="G189" s="154" t="s">
        <v>44</v>
      </c>
    </row>
    <row r="190" ht="22.5" customHeight="1">
      <c r="A190" s="129" t="s">
        <v>54</v>
      </c>
      <c r="B190" s="129" t="s">
        <v>49</v>
      </c>
      <c r="C190" s="128">
        <v>23.72</v>
      </c>
      <c r="D190" s="128">
        <v>116.7</v>
      </c>
      <c r="E190" s="181">
        <v>2742.0</v>
      </c>
      <c r="F190" s="182">
        <v>45491.0</v>
      </c>
      <c r="G190" s="168">
        <v>2742.0</v>
      </c>
    </row>
    <row r="191" ht="22.5" customHeight="1">
      <c r="A191" s="129" t="s">
        <v>54</v>
      </c>
      <c r="B191" s="129" t="s">
        <v>46</v>
      </c>
      <c r="C191" s="166">
        <v>4.26</v>
      </c>
      <c r="D191" s="128">
        <v>117.27</v>
      </c>
      <c r="E191" s="181">
        <v>499.0</v>
      </c>
      <c r="F191" s="182">
        <v>45489.0</v>
      </c>
      <c r="G191" s="168">
        <v>-499.0</v>
      </c>
    </row>
    <row r="192" ht="22.5" customHeight="1">
      <c r="A192" s="156" t="s">
        <v>54</v>
      </c>
      <c r="B192" s="156" t="s">
        <v>46</v>
      </c>
      <c r="C192" s="156">
        <v>4.43</v>
      </c>
      <c r="D192" s="156">
        <v>112.88</v>
      </c>
      <c r="E192" s="157">
        <v>499.0</v>
      </c>
      <c r="F192" s="158">
        <v>45462.0</v>
      </c>
      <c r="G192" s="157">
        <v>-499.0</v>
      </c>
    </row>
    <row r="193" ht="22.5" customHeight="1">
      <c r="A193" s="156" t="s">
        <v>54</v>
      </c>
      <c r="B193" s="156" t="s">
        <v>46</v>
      </c>
      <c r="C193" s="156">
        <v>4.8</v>
      </c>
      <c r="D193" s="156">
        <v>104.16</v>
      </c>
      <c r="E193" s="157">
        <v>499.0</v>
      </c>
      <c r="F193" s="158">
        <v>45428.0</v>
      </c>
      <c r="G193" s="157">
        <v>-499.0</v>
      </c>
    </row>
    <row r="194" ht="22.5" customHeight="1">
      <c r="A194" s="156" t="s">
        <v>54</v>
      </c>
      <c r="B194" s="156" t="s">
        <v>46</v>
      </c>
      <c r="C194" s="156">
        <v>4.97</v>
      </c>
      <c r="D194" s="156">
        <v>100.66</v>
      </c>
      <c r="E194" s="157">
        <v>499.0</v>
      </c>
      <c r="F194" s="158">
        <v>45398.0</v>
      </c>
      <c r="G194" s="157">
        <v>-499.0</v>
      </c>
    </row>
    <row r="195" ht="22.5" customHeight="1">
      <c r="A195" s="156" t="s">
        <v>54</v>
      </c>
      <c r="B195" s="156" t="s">
        <v>46</v>
      </c>
      <c r="C195" s="156">
        <v>5.26</v>
      </c>
      <c r="D195" s="156">
        <v>95.08</v>
      </c>
      <c r="E195" s="157">
        <v>499.0</v>
      </c>
      <c r="F195" s="158">
        <v>45366.0</v>
      </c>
      <c r="G195" s="157">
        <v>-499.0</v>
      </c>
    </row>
    <row r="196" ht="22.5" customHeight="1">
      <c r="A196" s="156" t="s">
        <v>54</v>
      </c>
      <c r="B196" s="156" t="s">
        <v>63</v>
      </c>
      <c r="C196" s="156">
        <v>317.83</v>
      </c>
      <c r="D196" s="156">
        <v>98.64</v>
      </c>
      <c r="E196" s="157">
        <v>31350.0</v>
      </c>
      <c r="F196" s="158">
        <v>45358.0</v>
      </c>
      <c r="G196" s="157">
        <v>31350.0</v>
      </c>
    </row>
    <row r="197" ht="22.5" customHeight="1">
      <c r="A197" s="156" t="s">
        <v>54</v>
      </c>
      <c r="B197" s="156" t="s">
        <v>46</v>
      </c>
      <c r="C197" s="156">
        <v>4.98</v>
      </c>
      <c r="D197" s="156">
        <v>100.36</v>
      </c>
      <c r="E197" s="157">
        <v>499.0</v>
      </c>
      <c r="F197" s="158">
        <v>45337.0</v>
      </c>
      <c r="G197" s="157">
        <v>-499.0</v>
      </c>
    </row>
    <row r="198" ht="22.5" customHeight="1">
      <c r="A198" s="156" t="s">
        <v>54</v>
      </c>
      <c r="B198" s="156" t="s">
        <v>46</v>
      </c>
      <c r="C198" s="156">
        <v>5.04</v>
      </c>
      <c r="D198" s="156">
        <v>99.11</v>
      </c>
      <c r="E198" s="157">
        <v>499.0</v>
      </c>
      <c r="F198" s="158">
        <v>45306.0</v>
      </c>
      <c r="G198" s="157">
        <v>-499.0</v>
      </c>
    </row>
    <row r="199" ht="22.5" customHeight="1">
      <c r="A199" s="156" t="s">
        <v>54</v>
      </c>
      <c r="B199" s="156" t="s">
        <v>46</v>
      </c>
      <c r="C199" s="156">
        <v>5.2</v>
      </c>
      <c r="D199" s="156">
        <v>96.17</v>
      </c>
      <c r="E199" s="157">
        <v>499.0</v>
      </c>
      <c r="F199" s="158">
        <v>45275.0</v>
      </c>
      <c r="G199" s="157">
        <v>-499.0</v>
      </c>
    </row>
    <row r="200" ht="22.5" customHeight="1">
      <c r="A200" s="156" t="s">
        <v>54</v>
      </c>
      <c r="B200" s="156" t="s">
        <v>46</v>
      </c>
      <c r="C200" s="156">
        <v>5.44</v>
      </c>
      <c r="D200" s="156">
        <v>91.87</v>
      </c>
      <c r="E200" s="157">
        <v>499.0</v>
      </c>
      <c r="F200" s="158">
        <v>45245.0</v>
      </c>
      <c r="G200" s="157">
        <v>-499.0</v>
      </c>
    </row>
    <row r="201" ht="22.5" customHeight="1">
      <c r="A201" s="156" t="s">
        <v>54</v>
      </c>
      <c r="B201" s="156" t="s">
        <v>46</v>
      </c>
      <c r="C201" s="156">
        <v>5.61</v>
      </c>
      <c r="D201" s="156">
        <v>89.15</v>
      </c>
      <c r="E201" s="157">
        <v>499.0</v>
      </c>
      <c r="F201" s="158">
        <v>45215.0</v>
      </c>
      <c r="G201" s="157">
        <v>-499.0</v>
      </c>
    </row>
    <row r="202" ht="22.5" customHeight="1">
      <c r="A202" s="156" t="s">
        <v>54</v>
      </c>
      <c r="B202" s="156" t="s">
        <v>46</v>
      </c>
      <c r="C202" s="156">
        <v>5.62</v>
      </c>
      <c r="D202" s="156">
        <v>89.01</v>
      </c>
      <c r="E202" s="157">
        <v>499.0</v>
      </c>
      <c r="F202" s="158">
        <v>45184.0</v>
      </c>
      <c r="G202" s="157">
        <v>-499.0</v>
      </c>
    </row>
    <row r="203" ht="22.5" customHeight="1">
      <c r="A203" s="156" t="s">
        <v>54</v>
      </c>
      <c r="B203" s="156" t="s">
        <v>46</v>
      </c>
      <c r="C203" s="156">
        <v>5.96</v>
      </c>
      <c r="D203" s="156">
        <v>83.95</v>
      </c>
      <c r="E203" s="157">
        <v>499.0</v>
      </c>
      <c r="F203" s="158">
        <v>45154.0</v>
      </c>
      <c r="G203" s="157">
        <v>-499.0</v>
      </c>
    </row>
    <row r="204" ht="22.5" customHeight="1">
      <c r="A204" s="156" t="s">
        <v>54</v>
      </c>
      <c r="B204" s="156" t="s">
        <v>46</v>
      </c>
      <c r="C204" s="156">
        <v>5.99</v>
      </c>
      <c r="D204" s="156">
        <v>83.5</v>
      </c>
      <c r="E204" s="157">
        <v>499.0</v>
      </c>
      <c r="F204" s="158">
        <v>45124.0</v>
      </c>
      <c r="G204" s="157">
        <v>-499.0</v>
      </c>
    </row>
    <row r="205" ht="22.5" customHeight="1">
      <c r="A205" s="156" t="s">
        <v>54</v>
      </c>
      <c r="B205" s="156" t="s">
        <v>46</v>
      </c>
      <c r="C205" s="156">
        <v>6.18</v>
      </c>
      <c r="D205" s="156">
        <v>80.92</v>
      </c>
      <c r="E205" s="157">
        <v>499.0</v>
      </c>
      <c r="F205" s="158">
        <v>45092.0</v>
      </c>
      <c r="G205" s="157">
        <v>-499.0</v>
      </c>
    </row>
    <row r="206" ht="22.5" customHeight="1">
      <c r="A206" s="156" t="s">
        <v>54</v>
      </c>
      <c r="B206" s="156" t="s">
        <v>46</v>
      </c>
      <c r="C206" s="156">
        <v>6.69</v>
      </c>
      <c r="D206" s="156">
        <v>74.78</v>
      </c>
      <c r="E206" s="157">
        <v>499.0</v>
      </c>
      <c r="F206" s="158">
        <v>45061.0</v>
      </c>
      <c r="G206" s="157">
        <v>-499.0</v>
      </c>
    </row>
    <row r="207" ht="22.5" customHeight="1">
      <c r="A207" s="156" t="s">
        <v>54</v>
      </c>
      <c r="B207" s="156" t="s">
        <v>46</v>
      </c>
      <c r="C207" s="156">
        <v>7.01</v>
      </c>
      <c r="D207" s="156">
        <v>71.31</v>
      </c>
      <c r="E207" s="157">
        <v>499.0</v>
      </c>
      <c r="F207" s="158">
        <v>45033.0</v>
      </c>
      <c r="G207" s="157">
        <v>-499.0</v>
      </c>
    </row>
    <row r="208" ht="22.5" customHeight="1">
      <c r="A208" s="156" t="s">
        <v>54</v>
      </c>
      <c r="B208" s="156" t="s">
        <v>46</v>
      </c>
      <c r="C208" s="156">
        <v>7.25</v>
      </c>
      <c r="D208" s="156">
        <v>69.01</v>
      </c>
      <c r="E208" s="157">
        <v>499.0</v>
      </c>
      <c r="F208" s="158">
        <v>45000.0</v>
      </c>
      <c r="G208" s="157">
        <v>-499.0</v>
      </c>
    </row>
    <row r="209" ht="22.5" customHeight="1">
      <c r="A209" s="156" t="s">
        <v>54</v>
      </c>
      <c r="B209" s="156" t="s">
        <v>46</v>
      </c>
      <c r="C209" s="156">
        <v>7.04</v>
      </c>
      <c r="D209" s="156">
        <v>71.05</v>
      </c>
      <c r="E209" s="157">
        <v>499.0</v>
      </c>
      <c r="F209" s="158">
        <v>44972.0</v>
      </c>
      <c r="G209" s="157">
        <v>-499.0</v>
      </c>
    </row>
    <row r="210" ht="22.5" customHeight="1">
      <c r="A210" s="156" t="s">
        <v>54</v>
      </c>
      <c r="B210" s="156" t="s">
        <v>46</v>
      </c>
      <c r="C210" s="156">
        <v>14.04</v>
      </c>
      <c r="D210" s="156">
        <v>71.24</v>
      </c>
      <c r="E210" s="157">
        <v>999.0</v>
      </c>
      <c r="F210" s="158">
        <v>44960.0</v>
      </c>
      <c r="G210" s="157">
        <v>-999.0</v>
      </c>
    </row>
    <row r="211" ht="22.5" customHeight="1">
      <c r="A211" s="156" t="s">
        <v>54</v>
      </c>
      <c r="B211" s="156" t="s">
        <v>46</v>
      </c>
      <c r="C211" s="156">
        <v>6.99</v>
      </c>
      <c r="D211" s="156">
        <v>71.52</v>
      </c>
      <c r="E211" s="157">
        <v>499.0</v>
      </c>
      <c r="F211" s="158">
        <v>44942.0</v>
      </c>
      <c r="G211" s="157">
        <v>-499.0</v>
      </c>
    </row>
    <row r="212" ht="22.5" customHeight="1">
      <c r="A212" s="156" t="s">
        <v>54</v>
      </c>
      <c r="B212" s="156" t="s">
        <v>46</v>
      </c>
      <c r="C212" s="156">
        <v>6.89</v>
      </c>
      <c r="D212" s="156">
        <v>72.51</v>
      </c>
      <c r="E212" s="157">
        <v>499.0</v>
      </c>
      <c r="F212" s="158">
        <v>44910.0</v>
      </c>
      <c r="G212" s="157">
        <v>-499.0</v>
      </c>
    </row>
    <row r="213" ht="22.5" customHeight="1">
      <c r="A213" s="156" t="s">
        <v>54</v>
      </c>
      <c r="B213" s="156" t="s">
        <v>46</v>
      </c>
      <c r="C213" s="156">
        <v>7.0</v>
      </c>
      <c r="D213" s="156">
        <v>71.48</v>
      </c>
      <c r="E213" s="157">
        <v>499.0</v>
      </c>
      <c r="F213" s="158">
        <v>44880.0</v>
      </c>
      <c r="G213" s="157">
        <v>-499.0</v>
      </c>
    </row>
    <row r="214" ht="22.5" customHeight="1">
      <c r="A214" s="156" t="s">
        <v>54</v>
      </c>
      <c r="B214" s="156" t="s">
        <v>46</v>
      </c>
      <c r="C214" s="156">
        <v>7.0</v>
      </c>
      <c r="D214" s="156">
        <v>71.46</v>
      </c>
      <c r="E214" s="157">
        <v>499.0</v>
      </c>
      <c r="F214" s="158">
        <v>44851.0</v>
      </c>
      <c r="G214" s="157">
        <v>-499.0</v>
      </c>
    </row>
    <row r="215" ht="22.5" customHeight="1">
      <c r="A215" s="156" t="s">
        <v>54</v>
      </c>
      <c r="B215" s="156" t="s">
        <v>46</v>
      </c>
      <c r="C215" s="156">
        <v>6.86</v>
      </c>
      <c r="D215" s="156">
        <v>72.94</v>
      </c>
      <c r="E215" s="157">
        <v>499.0</v>
      </c>
      <c r="F215" s="158">
        <v>44819.0</v>
      </c>
      <c r="G215" s="157">
        <v>-499.0</v>
      </c>
    </row>
    <row r="216" ht="22.5" customHeight="1">
      <c r="A216" s="156" t="s">
        <v>54</v>
      </c>
      <c r="B216" s="156" t="s">
        <v>46</v>
      </c>
      <c r="C216" s="156">
        <v>7.2</v>
      </c>
      <c r="D216" s="156">
        <v>69.46</v>
      </c>
      <c r="E216" s="157">
        <v>499.0</v>
      </c>
      <c r="F216" s="158">
        <v>44790.0</v>
      </c>
      <c r="G216" s="157">
        <v>-499.0</v>
      </c>
    </row>
    <row r="217" ht="22.5" customHeight="1">
      <c r="A217" s="156" t="s">
        <v>54</v>
      </c>
      <c r="B217" s="156" t="s">
        <v>46</v>
      </c>
      <c r="C217" s="156">
        <v>7.73</v>
      </c>
      <c r="D217" s="156">
        <v>64.65</v>
      </c>
      <c r="E217" s="157">
        <v>499.0</v>
      </c>
      <c r="F217" s="158">
        <v>44760.0</v>
      </c>
      <c r="G217" s="157">
        <v>-499.0</v>
      </c>
    </row>
    <row r="218" ht="22.5" customHeight="1">
      <c r="A218" s="156" t="s">
        <v>54</v>
      </c>
      <c r="B218" s="156" t="s">
        <v>46</v>
      </c>
      <c r="C218" s="156">
        <v>8.04</v>
      </c>
      <c r="D218" s="156">
        <v>62.15</v>
      </c>
      <c r="E218" s="157">
        <v>499.0</v>
      </c>
      <c r="F218" s="158">
        <v>44727.0</v>
      </c>
      <c r="G218" s="157">
        <v>-499.0</v>
      </c>
    </row>
    <row r="219" ht="22.5" customHeight="1">
      <c r="A219" s="156" t="s">
        <v>54</v>
      </c>
      <c r="B219" s="156" t="s">
        <v>46</v>
      </c>
      <c r="C219" s="156">
        <v>8.02</v>
      </c>
      <c r="D219" s="156">
        <v>62.31</v>
      </c>
      <c r="E219" s="157">
        <v>499.0</v>
      </c>
      <c r="F219" s="158">
        <v>44697.0</v>
      </c>
      <c r="G219" s="157">
        <v>-499.0</v>
      </c>
    </row>
    <row r="220" ht="22.5" customHeight="1">
      <c r="A220" s="156" t="s">
        <v>54</v>
      </c>
      <c r="B220" s="156" t="s">
        <v>46</v>
      </c>
      <c r="C220" s="156">
        <v>7.3</v>
      </c>
      <c r="D220" s="156">
        <v>68.47</v>
      </c>
      <c r="E220" s="157">
        <v>499.0</v>
      </c>
      <c r="F220" s="158">
        <v>44669.0</v>
      </c>
      <c r="G220" s="157">
        <v>-499.0</v>
      </c>
    </row>
    <row r="221" ht="22.5" customHeight="1">
      <c r="A221" s="156" t="s">
        <v>54</v>
      </c>
      <c r="B221" s="156" t="s">
        <v>46</v>
      </c>
      <c r="C221" s="156">
        <v>7.68</v>
      </c>
      <c r="D221" s="156">
        <v>65.08</v>
      </c>
      <c r="E221" s="157">
        <v>499.0</v>
      </c>
      <c r="F221" s="158">
        <v>44635.0</v>
      </c>
      <c r="G221" s="157">
        <v>-499.0</v>
      </c>
    </row>
    <row r="222" ht="22.5" customHeight="1">
      <c r="A222" s="156" t="s">
        <v>54</v>
      </c>
      <c r="B222" s="156" t="s">
        <v>46</v>
      </c>
      <c r="C222" s="156">
        <v>7.54</v>
      </c>
      <c r="D222" s="156">
        <v>66.34</v>
      </c>
      <c r="E222" s="157">
        <v>499.0</v>
      </c>
      <c r="F222" s="158">
        <v>44607.0</v>
      </c>
      <c r="G222" s="157">
        <v>-499.0</v>
      </c>
    </row>
    <row r="223" ht="22.5" customHeight="1">
      <c r="A223" s="156" t="s">
        <v>54</v>
      </c>
      <c r="B223" s="156" t="s">
        <v>46</v>
      </c>
      <c r="C223" s="156">
        <v>7.01</v>
      </c>
      <c r="D223" s="156">
        <v>71.28</v>
      </c>
      <c r="E223" s="157">
        <v>499.0</v>
      </c>
      <c r="F223" s="158">
        <v>44578.0</v>
      </c>
      <c r="G223" s="157">
        <v>-499.0</v>
      </c>
    </row>
    <row r="224" ht="22.5" customHeight="1">
      <c r="A224" s="156" t="s">
        <v>54</v>
      </c>
      <c r="B224" s="156" t="s">
        <v>46</v>
      </c>
      <c r="C224" s="156">
        <v>7.38</v>
      </c>
      <c r="D224" s="156">
        <v>67.71</v>
      </c>
      <c r="E224" s="157">
        <v>499.0</v>
      </c>
      <c r="F224" s="158">
        <v>44543.0</v>
      </c>
      <c r="G224" s="157">
        <v>-499.0</v>
      </c>
    </row>
    <row r="225" ht="22.5" customHeight="1">
      <c r="A225" s="156" t="s">
        <v>54</v>
      </c>
      <c r="B225" s="156" t="s">
        <v>61</v>
      </c>
      <c r="C225" s="156">
        <v>123.14</v>
      </c>
      <c r="D225" s="156">
        <v>64.6</v>
      </c>
      <c r="E225" s="157">
        <v>7955.0</v>
      </c>
      <c r="F225" s="158">
        <v>44524.0</v>
      </c>
      <c r="G225" s="157">
        <v>-7955.0</v>
      </c>
    </row>
    <row r="226" ht="22.5" customHeight="1">
      <c r="A226" s="159" t="s">
        <v>18</v>
      </c>
      <c r="B226" s="160"/>
      <c r="C226" s="160"/>
      <c r="D226" s="160"/>
      <c r="E226" s="183"/>
      <c r="F226" s="184"/>
      <c r="G226" s="183"/>
    </row>
    <row r="227">
      <c r="F227" s="45" t="s">
        <v>28</v>
      </c>
      <c r="G227" s="46">
        <f>XIRR(G190:G225,F190:F225)</f>
        <v>0.2359733826</v>
      </c>
    </row>
    <row r="228">
      <c r="A228" s="113" t="s">
        <v>62</v>
      </c>
    </row>
    <row r="229">
      <c r="H229" s="16"/>
      <c r="I229" s="16"/>
      <c r="J229" s="8" t="s">
        <v>116</v>
      </c>
      <c r="K229" s="8" t="s">
        <v>116</v>
      </c>
    </row>
    <row r="230" ht="22.5" customHeight="1">
      <c r="A230" s="154" t="s">
        <v>38</v>
      </c>
      <c r="B230" s="155" t="s">
        <v>39</v>
      </c>
      <c r="C230" s="154" t="s">
        <v>40</v>
      </c>
      <c r="D230" s="154" t="s">
        <v>41</v>
      </c>
      <c r="E230" s="154" t="s">
        <v>42</v>
      </c>
      <c r="F230" s="154" t="s">
        <v>43</v>
      </c>
      <c r="G230" s="154" t="s">
        <v>44</v>
      </c>
    </row>
    <row r="231" ht="22.5" customHeight="1">
      <c r="A231" s="156" t="s">
        <v>62</v>
      </c>
      <c r="B231" s="129" t="s">
        <v>46</v>
      </c>
      <c r="C231" s="166">
        <v>13.96</v>
      </c>
      <c r="D231" s="128">
        <v>35.81</v>
      </c>
      <c r="E231" s="181">
        <v>499.0</v>
      </c>
      <c r="F231" s="182">
        <v>45489.0</v>
      </c>
      <c r="G231" s="168">
        <v>-499.0</v>
      </c>
    </row>
    <row r="232" ht="22.5" customHeight="1">
      <c r="A232" s="156" t="s">
        <v>62</v>
      </c>
      <c r="B232" s="156" t="s">
        <v>46</v>
      </c>
      <c r="C232" s="156">
        <v>14.44</v>
      </c>
      <c r="D232" s="156">
        <v>34.62</v>
      </c>
      <c r="E232" s="157">
        <v>499.0</v>
      </c>
      <c r="F232" s="158">
        <v>45462.0</v>
      </c>
      <c r="G232" s="157">
        <v>-499.0</v>
      </c>
    </row>
    <row r="233" ht="22.5" customHeight="1">
      <c r="A233" s="156" t="s">
        <v>62</v>
      </c>
      <c r="B233" s="156" t="s">
        <v>46</v>
      </c>
      <c r="C233" s="156">
        <v>15.59</v>
      </c>
      <c r="D233" s="156">
        <v>32.07</v>
      </c>
      <c r="E233" s="157">
        <v>499.0</v>
      </c>
      <c r="F233" s="158">
        <v>45428.0</v>
      </c>
      <c r="G233" s="157">
        <v>-499.0</v>
      </c>
    </row>
    <row r="234" ht="22.5" customHeight="1">
      <c r="A234" s="156" t="s">
        <v>62</v>
      </c>
      <c r="B234" s="156" t="s">
        <v>46</v>
      </c>
      <c r="C234" s="156">
        <v>15.83</v>
      </c>
      <c r="D234" s="156">
        <v>31.59</v>
      </c>
      <c r="E234" s="157">
        <v>499.0</v>
      </c>
      <c r="F234" s="158">
        <v>45397.0</v>
      </c>
      <c r="G234" s="157">
        <v>-499.0</v>
      </c>
    </row>
    <row r="235" ht="22.5" customHeight="1">
      <c r="A235" s="156" t="s">
        <v>62</v>
      </c>
      <c r="B235" s="156" t="s">
        <v>46</v>
      </c>
      <c r="C235" s="156">
        <v>16.15</v>
      </c>
      <c r="D235" s="156">
        <v>30.96</v>
      </c>
      <c r="E235" s="157">
        <v>499.0</v>
      </c>
      <c r="F235" s="158">
        <v>45366.0</v>
      </c>
      <c r="G235" s="157">
        <v>-499.0</v>
      </c>
    </row>
    <row r="236" ht="22.5" customHeight="1">
      <c r="A236" s="156" t="s">
        <v>62</v>
      </c>
      <c r="B236" s="156" t="s">
        <v>63</v>
      </c>
      <c r="C236" s="156">
        <v>635.66</v>
      </c>
      <c r="D236" s="156">
        <v>31.2</v>
      </c>
      <c r="E236" s="157">
        <v>19835.0</v>
      </c>
      <c r="F236" s="158">
        <v>45358.0</v>
      </c>
      <c r="G236" s="157">
        <v>19835.0</v>
      </c>
    </row>
    <row r="237" ht="22.5" customHeight="1">
      <c r="A237" s="156" t="s">
        <v>62</v>
      </c>
      <c r="B237" s="156" t="s">
        <v>46</v>
      </c>
      <c r="C237" s="156">
        <v>16.3</v>
      </c>
      <c r="D237" s="156">
        <v>30.68</v>
      </c>
      <c r="E237" s="157">
        <v>499.0</v>
      </c>
      <c r="F237" s="158">
        <v>45337.0</v>
      </c>
      <c r="G237" s="157">
        <v>-499.0</v>
      </c>
    </row>
    <row r="238" ht="22.5" customHeight="1">
      <c r="A238" s="156" t="s">
        <v>62</v>
      </c>
      <c r="B238" s="156" t="s">
        <v>46</v>
      </c>
      <c r="C238" s="156">
        <v>17.21</v>
      </c>
      <c r="D238" s="156">
        <v>29.04</v>
      </c>
      <c r="E238" s="157">
        <v>499.0</v>
      </c>
      <c r="F238" s="158">
        <v>45306.0</v>
      </c>
      <c r="G238" s="157">
        <v>-499.0</v>
      </c>
    </row>
    <row r="239" ht="22.5" customHeight="1">
      <c r="A239" s="156" t="s">
        <v>62</v>
      </c>
      <c r="B239" s="156" t="s">
        <v>46</v>
      </c>
      <c r="C239" s="156">
        <v>17.42</v>
      </c>
      <c r="D239" s="156">
        <v>28.7</v>
      </c>
      <c r="E239" s="157">
        <v>499.0</v>
      </c>
      <c r="F239" s="158">
        <v>45275.0</v>
      </c>
      <c r="G239" s="157">
        <v>-499.0</v>
      </c>
    </row>
    <row r="240" ht="22.5" customHeight="1">
      <c r="A240" s="156" t="s">
        <v>62</v>
      </c>
      <c r="B240" s="156" t="s">
        <v>46</v>
      </c>
      <c r="C240" s="156">
        <v>18.32</v>
      </c>
      <c r="D240" s="156">
        <v>27.3</v>
      </c>
      <c r="E240" s="157">
        <v>499.0</v>
      </c>
      <c r="F240" s="158">
        <v>45245.0</v>
      </c>
      <c r="G240" s="157">
        <v>-499.0</v>
      </c>
    </row>
    <row r="241" ht="22.5" customHeight="1">
      <c r="A241" s="156" t="s">
        <v>62</v>
      </c>
      <c r="B241" s="156" t="s">
        <v>46</v>
      </c>
      <c r="C241" s="156">
        <v>19.17</v>
      </c>
      <c r="D241" s="156">
        <v>26.08</v>
      </c>
      <c r="E241" s="157">
        <v>499.0</v>
      </c>
      <c r="F241" s="158">
        <v>45215.0</v>
      </c>
      <c r="G241" s="157">
        <v>-499.0</v>
      </c>
    </row>
    <row r="242" ht="22.5" customHeight="1">
      <c r="A242" s="156" t="s">
        <v>62</v>
      </c>
      <c r="B242" s="156" t="s">
        <v>46</v>
      </c>
      <c r="C242" s="156">
        <v>18.78</v>
      </c>
      <c r="D242" s="156">
        <v>26.62</v>
      </c>
      <c r="E242" s="157">
        <v>499.0</v>
      </c>
      <c r="F242" s="158">
        <v>45184.0</v>
      </c>
      <c r="G242" s="157">
        <v>-499.0</v>
      </c>
    </row>
    <row r="243" ht="22.5" customHeight="1">
      <c r="A243" s="156" t="s">
        <v>62</v>
      </c>
      <c r="B243" s="156" t="s">
        <v>46</v>
      </c>
      <c r="C243" s="156">
        <v>19.46</v>
      </c>
      <c r="D243" s="156">
        <v>25.69</v>
      </c>
      <c r="E243" s="157">
        <v>499.0</v>
      </c>
      <c r="F243" s="158">
        <v>45154.0</v>
      </c>
      <c r="G243" s="157">
        <v>-499.0</v>
      </c>
    </row>
    <row r="244" ht="22.5" customHeight="1">
      <c r="A244" s="156" t="s">
        <v>62</v>
      </c>
      <c r="B244" s="156" t="s">
        <v>46</v>
      </c>
      <c r="C244" s="156">
        <v>18.86</v>
      </c>
      <c r="D244" s="156">
        <v>26.51</v>
      </c>
      <c r="E244" s="157">
        <v>499.0</v>
      </c>
      <c r="F244" s="158">
        <v>45124.0</v>
      </c>
      <c r="G244" s="157">
        <v>-499.0</v>
      </c>
    </row>
    <row r="245" ht="22.5" customHeight="1">
      <c r="A245" s="156" t="s">
        <v>62</v>
      </c>
      <c r="B245" s="156" t="s">
        <v>46</v>
      </c>
      <c r="C245" s="156">
        <v>19.37</v>
      </c>
      <c r="D245" s="156">
        <v>25.81</v>
      </c>
      <c r="E245" s="157">
        <v>499.0</v>
      </c>
      <c r="F245" s="158">
        <v>45092.0</v>
      </c>
      <c r="G245" s="157">
        <v>-499.0</v>
      </c>
    </row>
    <row r="246" ht="22.5" customHeight="1">
      <c r="A246" s="156" t="s">
        <v>62</v>
      </c>
      <c r="B246" s="156" t="s">
        <v>46</v>
      </c>
      <c r="C246" s="156">
        <v>21.96</v>
      </c>
      <c r="D246" s="156">
        <v>22.77</v>
      </c>
      <c r="E246" s="157">
        <v>499.0</v>
      </c>
      <c r="F246" s="158">
        <v>45061.0</v>
      </c>
      <c r="G246" s="157">
        <v>-499.0</v>
      </c>
    </row>
    <row r="247" ht="22.5" customHeight="1">
      <c r="A247" s="156" t="s">
        <v>62</v>
      </c>
      <c r="B247" s="156" t="s">
        <v>46</v>
      </c>
      <c r="C247" s="156">
        <v>22.53</v>
      </c>
      <c r="D247" s="156">
        <v>22.2</v>
      </c>
      <c r="E247" s="157">
        <v>499.0</v>
      </c>
      <c r="F247" s="158">
        <v>45033.0</v>
      </c>
      <c r="G247" s="157">
        <v>-499.0</v>
      </c>
    </row>
    <row r="248" ht="22.5" customHeight="1">
      <c r="A248" s="156" t="s">
        <v>62</v>
      </c>
      <c r="B248" s="156" t="s">
        <v>46</v>
      </c>
      <c r="C248" s="156">
        <v>23.76</v>
      </c>
      <c r="D248" s="156">
        <v>21.04</v>
      </c>
      <c r="E248" s="157">
        <v>499.0</v>
      </c>
      <c r="F248" s="158">
        <v>45000.0</v>
      </c>
      <c r="G248" s="157">
        <v>-499.0</v>
      </c>
    </row>
    <row r="249" ht="22.5" customHeight="1">
      <c r="A249" s="156" t="s">
        <v>62</v>
      </c>
      <c r="B249" s="156" t="s">
        <v>46</v>
      </c>
      <c r="C249" s="156">
        <v>23.23</v>
      </c>
      <c r="D249" s="156">
        <v>21.52</v>
      </c>
      <c r="E249" s="157">
        <v>499.0</v>
      </c>
      <c r="F249" s="158">
        <v>44972.0</v>
      </c>
      <c r="G249" s="157">
        <v>-499.0</v>
      </c>
    </row>
    <row r="250" ht="22.5" customHeight="1">
      <c r="A250" s="156" t="s">
        <v>62</v>
      </c>
      <c r="B250" s="156" t="s">
        <v>46</v>
      </c>
      <c r="C250" s="156">
        <v>25.24</v>
      </c>
      <c r="D250" s="156">
        <v>19.81</v>
      </c>
      <c r="E250" s="157">
        <v>499.0</v>
      </c>
      <c r="F250" s="158">
        <v>44942.0</v>
      </c>
      <c r="G250" s="157">
        <v>-499.0</v>
      </c>
    </row>
    <row r="251" ht="22.5" customHeight="1">
      <c r="A251" s="156" t="s">
        <v>62</v>
      </c>
      <c r="B251" s="156" t="s">
        <v>46</v>
      </c>
      <c r="C251" s="156">
        <v>23.48</v>
      </c>
      <c r="D251" s="156">
        <v>21.29</v>
      </c>
      <c r="E251" s="157">
        <v>499.0</v>
      </c>
      <c r="F251" s="158">
        <v>44635.0</v>
      </c>
      <c r="G251" s="157">
        <v>-499.0</v>
      </c>
    </row>
    <row r="252" ht="22.5" customHeight="1">
      <c r="A252" s="156" t="s">
        <v>62</v>
      </c>
      <c r="B252" s="156" t="s">
        <v>46</v>
      </c>
      <c r="C252" s="156">
        <v>21.49</v>
      </c>
      <c r="D252" s="156">
        <v>23.27</v>
      </c>
      <c r="E252" s="157">
        <v>499.0</v>
      </c>
      <c r="F252" s="158">
        <v>44607.0</v>
      </c>
      <c r="G252" s="157">
        <v>-499.0</v>
      </c>
    </row>
    <row r="253" ht="22.5" customHeight="1">
      <c r="A253" s="156" t="s">
        <v>62</v>
      </c>
      <c r="B253" s="156" t="s">
        <v>46</v>
      </c>
      <c r="C253" s="156">
        <v>20.47</v>
      </c>
      <c r="D253" s="156">
        <v>24.42</v>
      </c>
      <c r="E253" s="157">
        <v>499.0</v>
      </c>
      <c r="F253" s="158">
        <v>44578.0</v>
      </c>
      <c r="G253" s="157">
        <v>-499.0</v>
      </c>
    </row>
    <row r="254" ht="22.5" customHeight="1">
      <c r="A254" s="156" t="s">
        <v>62</v>
      </c>
      <c r="B254" s="156" t="s">
        <v>46</v>
      </c>
      <c r="C254" s="156">
        <v>19.66</v>
      </c>
      <c r="D254" s="156">
        <v>25.42</v>
      </c>
      <c r="E254" s="157">
        <v>499.0</v>
      </c>
      <c r="F254" s="158">
        <v>44545.0</v>
      </c>
      <c r="G254" s="157">
        <v>-499.0</v>
      </c>
    </row>
    <row r="255" ht="22.5" customHeight="1">
      <c r="A255" s="156" t="s">
        <v>62</v>
      </c>
      <c r="B255" s="156" t="s">
        <v>46</v>
      </c>
      <c r="C255" s="156">
        <v>19.71</v>
      </c>
      <c r="D255" s="156">
        <v>25.37</v>
      </c>
      <c r="E255" s="157">
        <v>499.0</v>
      </c>
      <c r="F255" s="158">
        <v>44515.0</v>
      </c>
      <c r="G255" s="157">
        <v>-499.0</v>
      </c>
    </row>
    <row r="256" ht="22.5" customHeight="1">
      <c r="A256" s="156" t="s">
        <v>62</v>
      </c>
      <c r="B256" s="156" t="s">
        <v>46</v>
      </c>
      <c r="C256" s="156">
        <v>20.98</v>
      </c>
      <c r="D256" s="156">
        <v>23.83</v>
      </c>
      <c r="E256" s="157">
        <v>499.0</v>
      </c>
      <c r="F256" s="158">
        <v>44487.0</v>
      </c>
      <c r="G256" s="157">
        <v>-499.0</v>
      </c>
    </row>
    <row r="257" ht="22.5" customHeight="1">
      <c r="A257" s="156" t="s">
        <v>62</v>
      </c>
      <c r="B257" s="156" t="s">
        <v>46</v>
      </c>
      <c r="C257" s="156">
        <v>20.83</v>
      </c>
      <c r="D257" s="156">
        <v>24.0</v>
      </c>
      <c r="E257" s="157">
        <v>499.0</v>
      </c>
      <c r="F257" s="158">
        <v>44454.0</v>
      </c>
      <c r="G257" s="157">
        <v>-499.0</v>
      </c>
    </row>
    <row r="258" ht="22.5" customHeight="1">
      <c r="A258" s="156" t="s">
        <v>62</v>
      </c>
      <c r="B258" s="156" t="s">
        <v>46</v>
      </c>
      <c r="C258" s="156">
        <v>20.97</v>
      </c>
      <c r="D258" s="156">
        <v>23.85</v>
      </c>
      <c r="E258" s="157">
        <v>499.0</v>
      </c>
      <c r="F258" s="158">
        <v>44424.0</v>
      </c>
      <c r="G258" s="157">
        <v>-499.0</v>
      </c>
    </row>
    <row r="259" ht="22.5" customHeight="1">
      <c r="A259" s="156" t="s">
        <v>62</v>
      </c>
      <c r="B259" s="156" t="s">
        <v>46</v>
      </c>
      <c r="C259" s="156">
        <v>21.41</v>
      </c>
      <c r="D259" s="156">
        <v>23.35</v>
      </c>
      <c r="E259" s="157">
        <v>499.0</v>
      </c>
      <c r="F259" s="158">
        <v>44393.0</v>
      </c>
      <c r="G259" s="157">
        <v>-499.0</v>
      </c>
    </row>
    <row r="260" ht="22.5" customHeight="1">
      <c r="A260" s="156" t="s">
        <v>62</v>
      </c>
      <c r="B260" s="156" t="s">
        <v>61</v>
      </c>
      <c r="C260" s="156">
        <v>165.04</v>
      </c>
      <c r="D260" s="156">
        <v>23.21</v>
      </c>
      <c r="E260" s="157">
        <v>3830.0</v>
      </c>
      <c r="F260" s="158">
        <v>44376.0</v>
      </c>
      <c r="G260" s="157">
        <v>-3830.0</v>
      </c>
    </row>
    <row r="261" ht="22.5" customHeight="1">
      <c r="A261" s="169" t="s">
        <v>50</v>
      </c>
      <c r="B261" s="169" t="s">
        <v>46</v>
      </c>
      <c r="C261" s="127">
        <v>14.71</v>
      </c>
      <c r="D261" s="127">
        <v>34.0</v>
      </c>
      <c r="E261" s="168">
        <v>499.0</v>
      </c>
      <c r="F261" s="188">
        <v>45520.0</v>
      </c>
      <c r="G261" s="156">
        <v>-499.0</v>
      </c>
    </row>
    <row r="262" ht="22.5" customHeight="1">
      <c r="A262" s="189" t="s">
        <v>50</v>
      </c>
      <c r="B262" s="156" t="s">
        <v>46</v>
      </c>
      <c r="C262" s="190">
        <v>14.76</v>
      </c>
      <c r="D262" s="190">
        <v>33.88</v>
      </c>
      <c r="E262" s="181">
        <v>499.0</v>
      </c>
      <c r="F262" s="182">
        <v>45551.0</v>
      </c>
      <c r="G262" s="191">
        <v>-499.0</v>
      </c>
    </row>
    <row r="263" ht="22.5" customHeight="1">
      <c r="A263" s="171" t="s">
        <v>50</v>
      </c>
      <c r="B263" s="169" t="s">
        <v>46</v>
      </c>
      <c r="C263" s="126">
        <v>14.2</v>
      </c>
      <c r="D263" s="126">
        <v>35.21</v>
      </c>
      <c r="E263" s="172">
        <v>499.0</v>
      </c>
      <c r="F263" s="192">
        <v>45581.0</v>
      </c>
      <c r="G263" s="156">
        <v>-499.0</v>
      </c>
    </row>
    <row r="264" ht="22.5" customHeight="1">
      <c r="A264" s="171" t="s">
        <v>50</v>
      </c>
      <c r="B264" s="169" t="s">
        <v>46</v>
      </c>
      <c r="C264" s="126">
        <v>13.88</v>
      </c>
      <c r="D264" s="126">
        <v>36.04</v>
      </c>
      <c r="E264" s="172">
        <v>499.0</v>
      </c>
      <c r="F264" s="192">
        <v>45614.0</v>
      </c>
      <c r="G264" s="156">
        <v>-499.0</v>
      </c>
    </row>
    <row r="265" ht="22.5" customHeight="1">
      <c r="A265" s="171" t="s">
        <v>50</v>
      </c>
      <c r="B265" s="169" t="s">
        <v>46</v>
      </c>
      <c r="C265" s="126">
        <v>11.33</v>
      </c>
      <c r="D265" s="126">
        <v>44.13</v>
      </c>
      <c r="E265" s="172">
        <v>499.0</v>
      </c>
      <c r="F265" s="192">
        <v>45642.0</v>
      </c>
      <c r="G265" s="156">
        <v>-499.0</v>
      </c>
    </row>
    <row r="266" ht="22.5" customHeight="1">
      <c r="A266" s="159" t="s">
        <v>18</v>
      </c>
      <c r="B266" s="160"/>
      <c r="C266" s="160">
        <f>'MF holdings and transactions'!I320</f>
        <v>144.836</v>
      </c>
      <c r="D266" s="160">
        <f>'MF holdings and transactions'!G320</f>
        <v>50.24</v>
      </c>
      <c r="E266" s="183"/>
      <c r="F266" s="184">
        <f>TODAY()</f>
        <v>46048</v>
      </c>
      <c r="G266" s="180">
        <f>'MF holdings and transactions'!K320</f>
        <v>7276.56064</v>
      </c>
    </row>
    <row r="267">
      <c r="F267" s="45" t="s">
        <v>28</v>
      </c>
      <c r="G267" s="46">
        <f>XIRR(G231:G266,F231:F266)</f>
        <v>0.1851054576</v>
      </c>
    </row>
    <row r="268">
      <c r="A268" s="113" t="s">
        <v>68</v>
      </c>
    </row>
    <row r="269">
      <c r="H269" s="16"/>
      <c r="I269" s="16"/>
      <c r="J269" s="8" t="s">
        <v>116</v>
      </c>
      <c r="K269" s="8" t="s">
        <v>116</v>
      </c>
    </row>
    <row r="270" ht="22.5" customHeight="1">
      <c r="A270" s="154" t="s">
        <v>38</v>
      </c>
      <c r="B270" s="155" t="s">
        <v>39</v>
      </c>
      <c r="C270" s="154" t="s">
        <v>40</v>
      </c>
      <c r="D270" s="154" t="s">
        <v>41</v>
      </c>
      <c r="E270" s="154" t="s">
        <v>42</v>
      </c>
      <c r="F270" s="154" t="s">
        <v>43</v>
      </c>
      <c r="G270" s="154" t="s">
        <v>44</v>
      </c>
    </row>
    <row r="271" ht="22.5" customHeight="1">
      <c r="A271" s="156" t="s">
        <v>68</v>
      </c>
      <c r="B271" s="156" t="s">
        <v>63</v>
      </c>
      <c r="C271" s="156">
        <v>794.59</v>
      </c>
      <c r="D271" s="156">
        <v>23.34</v>
      </c>
      <c r="E271" s="157">
        <v>18541.0</v>
      </c>
      <c r="F271" s="158">
        <v>45310.0</v>
      </c>
      <c r="G271" s="157">
        <v>18541.0</v>
      </c>
    </row>
    <row r="272" ht="22.5" customHeight="1">
      <c r="A272" s="156" t="s">
        <v>68</v>
      </c>
      <c r="B272" s="156" t="s">
        <v>46</v>
      </c>
      <c r="C272" s="156">
        <v>8.6</v>
      </c>
      <c r="D272" s="156">
        <v>23.27</v>
      </c>
      <c r="E272" s="157">
        <v>199.0</v>
      </c>
      <c r="F272" s="158">
        <v>45275.0</v>
      </c>
      <c r="G272" s="157">
        <v>-199.0</v>
      </c>
    </row>
    <row r="273" ht="22.5" customHeight="1">
      <c r="A273" s="156" t="s">
        <v>68</v>
      </c>
      <c r="B273" s="156" t="s">
        <v>46</v>
      </c>
      <c r="C273" s="156">
        <v>9.36</v>
      </c>
      <c r="D273" s="156">
        <v>21.38</v>
      </c>
      <c r="E273" s="157">
        <v>199.0</v>
      </c>
      <c r="F273" s="158">
        <v>45245.0</v>
      </c>
      <c r="G273" s="157">
        <v>-199.0</v>
      </c>
    </row>
    <row r="274" ht="22.5" customHeight="1">
      <c r="A274" s="156" t="s">
        <v>68</v>
      </c>
      <c r="B274" s="156" t="s">
        <v>46</v>
      </c>
      <c r="C274" s="156">
        <v>23.16</v>
      </c>
      <c r="D274" s="156">
        <v>21.59</v>
      </c>
      <c r="E274" s="157">
        <v>499.0</v>
      </c>
      <c r="F274" s="158">
        <v>45215.0</v>
      </c>
      <c r="G274" s="157">
        <v>-499.0</v>
      </c>
    </row>
    <row r="275" ht="22.5" customHeight="1">
      <c r="A275" s="156" t="s">
        <v>68</v>
      </c>
      <c r="B275" s="156" t="s">
        <v>46</v>
      </c>
      <c r="C275" s="156">
        <v>22.67</v>
      </c>
      <c r="D275" s="156">
        <v>22.05</v>
      </c>
      <c r="E275" s="157">
        <v>499.0</v>
      </c>
      <c r="F275" s="158">
        <v>45184.0</v>
      </c>
      <c r="G275" s="157">
        <v>-499.0</v>
      </c>
    </row>
    <row r="276" ht="22.5" customHeight="1">
      <c r="A276" s="156" t="s">
        <v>68</v>
      </c>
      <c r="B276" s="156" t="s">
        <v>46</v>
      </c>
      <c r="C276" s="156">
        <v>23.61</v>
      </c>
      <c r="D276" s="156">
        <v>21.17</v>
      </c>
      <c r="E276" s="157">
        <v>499.0</v>
      </c>
      <c r="F276" s="158">
        <v>45154.0</v>
      </c>
      <c r="G276" s="157">
        <v>-499.0</v>
      </c>
    </row>
    <row r="277" ht="22.5" customHeight="1">
      <c r="A277" s="156" t="s">
        <v>68</v>
      </c>
      <c r="B277" s="156" t="s">
        <v>46</v>
      </c>
      <c r="C277" s="156">
        <v>23.16</v>
      </c>
      <c r="D277" s="156">
        <v>21.59</v>
      </c>
      <c r="E277" s="157">
        <v>499.0</v>
      </c>
      <c r="F277" s="158">
        <v>45124.0</v>
      </c>
      <c r="G277" s="157">
        <v>-499.0</v>
      </c>
    </row>
    <row r="278" ht="22.5" customHeight="1">
      <c r="A278" s="156" t="s">
        <v>68</v>
      </c>
      <c r="B278" s="156" t="s">
        <v>46</v>
      </c>
      <c r="C278" s="156">
        <v>24.36</v>
      </c>
      <c r="D278" s="156">
        <v>20.53</v>
      </c>
      <c r="E278" s="157">
        <v>499.0</v>
      </c>
      <c r="F278" s="158">
        <v>45092.0</v>
      </c>
      <c r="G278" s="157">
        <v>-499.0</v>
      </c>
    </row>
    <row r="279" ht="22.5" customHeight="1">
      <c r="A279" s="156" t="s">
        <v>68</v>
      </c>
      <c r="B279" s="156" t="s">
        <v>46</v>
      </c>
      <c r="C279" s="156">
        <v>24.88</v>
      </c>
      <c r="D279" s="156">
        <v>20.09</v>
      </c>
      <c r="E279" s="157">
        <v>499.0</v>
      </c>
      <c r="F279" s="158">
        <v>45061.0</v>
      </c>
      <c r="G279" s="157">
        <v>-499.0</v>
      </c>
    </row>
    <row r="280" ht="22.5" customHeight="1">
      <c r="A280" s="156" t="s">
        <v>68</v>
      </c>
      <c r="B280" s="156" t="s">
        <v>46</v>
      </c>
      <c r="C280" s="156">
        <v>25.9</v>
      </c>
      <c r="D280" s="156">
        <v>19.31</v>
      </c>
      <c r="E280" s="157">
        <v>499.0</v>
      </c>
      <c r="F280" s="158">
        <v>45033.0</v>
      </c>
      <c r="G280" s="157">
        <v>-499.0</v>
      </c>
    </row>
    <row r="281" ht="22.5" customHeight="1">
      <c r="A281" s="156" t="s">
        <v>68</v>
      </c>
      <c r="B281" s="156" t="s">
        <v>46</v>
      </c>
      <c r="C281" s="156">
        <v>26.94</v>
      </c>
      <c r="D281" s="156">
        <v>18.56</v>
      </c>
      <c r="E281" s="157">
        <v>499.0</v>
      </c>
      <c r="F281" s="158">
        <v>45000.0</v>
      </c>
      <c r="G281" s="157">
        <v>-499.0</v>
      </c>
    </row>
    <row r="282" ht="22.5" customHeight="1">
      <c r="A282" s="156" t="s">
        <v>68</v>
      </c>
      <c r="B282" s="156" t="s">
        <v>46</v>
      </c>
      <c r="C282" s="156">
        <v>25.28</v>
      </c>
      <c r="D282" s="156">
        <v>19.78</v>
      </c>
      <c r="E282" s="157">
        <v>499.0</v>
      </c>
      <c r="F282" s="158">
        <v>44972.0</v>
      </c>
      <c r="G282" s="157">
        <v>-499.0</v>
      </c>
    </row>
    <row r="283" ht="22.5" customHeight="1">
      <c r="A283" s="156" t="s">
        <v>68</v>
      </c>
      <c r="B283" s="156" t="s">
        <v>46</v>
      </c>
      <c r="C283" s="156">
        <v>25.83</v>
      </c>
      <c r="D283" s="156">
        <v>19.36</v>
      </c>
      <c r="E283" s="157">
        <v>499.0</v>
      </c>
      <c r="F283" s="158">
        <v>44942.0</v>
      </c>
      <c r="G283" s="157">
        <v>-499.0</v>
      </c>
    </row>
    <row r="284" ht="22.5" customHeight="1">
      <c r="A284" s="156" t="s">
        <v>68</v>
      </c>
      <c r="B284" s="156" t="s">
        <v>46</v>
      </c>
      <c r="C284" s="156">
        <v>25.3</v>
      </c>
      <c r="D284" s="156">
        <v>19.76</v>
      </c>
      <c r="E284" s="157">
        <v>499.0</v>
      </c>
      <c r="F284" s="158">
        <v>44910.0</v>
      </c>
      <c r="G284" s="157">
        <v>-499.0</v>
      </c>
    </row>
    <row r="285" ht="22.5" customHeight="1">
      <c r="A285" s="156" t="s">
        <v>68</v>
      </c>
      <c r="B285" s="156" t="s">
        <v>46</v>
      </c>
      <c r="C285" s="156">
        <v>25.08</v>
      </c>
      <c r="D285" s="156">
        <v>19.94</v>
      </c>
      <c r="E285" s="157">
        <v>499.0</v>
      </c>
      <c r="F285" s="158">
        <v>44880.0</v>
      </c>
      <c r="G285" s="157">
        <v>-499.0</v>
      </c>
    </row>
    <row r="286" ht="22.5" customHeight="1">
      <c r="A286" s="156" t="s">
        <v>68</v>
      </c>
      <c r="B286" s="156" t="s">
        <v>46</v>
      </c>
      <c r="C286" s="156">
        <v>26.36</v>
      </c>
      <c r="D286" s="156">
        <v>18.97</v>
      </c>
      <c r="E286" s="157">
        <v>499.0</v>
      </c>
      <c r="F286" s="158">
        <v>44851.0</v>
      </c>
      <c r="G286" s="157">
        <v>-499.0</v>
      </c>
    </row>
    <row r="287" ht="22.5" customHeight="1">
      <c r="A287" s="156" t="s">
        <v>68</v>
      </c>
      <c r="B287" s="156" t="s">
        <v>46</v>
      </c>
      <c r="C287" s="156">
        <v>25.93</v>
      </c>
      <c r="D287" s="156">
        <v>19.29</v>
      </c>
      <c r="E287" s="157">
        <v>499.0</v>
      </c>
      <c r="F287" s="158">
        <v>44819.0</v>
      </c>
      <c r="G287" s="157">
        <v>-499.0</v>
      </c>
    </row>
    <row r="288" ht="22.5" customHeight="1">
      <c r="A288" s="156" t="s">
        <v>68</v>
      </c>
      <c r="B288" s="156" t="s">
        <v>46</v>
      </c>
      <c r="C288" s="156">
        <v>25.97</v>
      </c>
      <c r="D288" s="156">
        <v>19.25</v>
      </c>
      <c r="E288" s="157">
        <v>499.0</v>
      </c>
      <c r="F288" s="158">
        <v>44789.0</v>
      </c>
      <c r="G288" s="157">
        <v>-499.0</v>
      </c>
    </row>
    <row r="289" ht="22.5" customHeight="1">
      <c r="A289" s="156" t="s">
        <v>68</v>
      </c>
      <c r="B289" s="156" t="s">
        <v>46</v>
      </c>
      <c r="C289" s="156">
        <v>28.56</v>
      </c>
      <c r="D289" s="156">
        <v>17.51</v>
      </c>
      <c r="E289" s="157">
        <v>499.0</v>
      </c>
      <c r="F289" s="158">
        <v>44760.0</v>
      </c>
      <c r="G289" s="157">
        <v>-499.0</v>
      </c>
    </row>
    <row r="290" ht="22.5" customHeight="1">
      <c r="A290" s="156" t="s">
        <v>68</v>
      </c>
      <c r="B290" s="156" t="s">
        <v>46</v>
      </c>
      <c r="C290" s="156">
        <v>43.65</v>
      </c>
      <c r="D290" s="156">
        <v>17.02</v>
      </c>
      <c r="E290" s="157">
        <v>742.0</v>
      </c>
      <c r="F290" s="158">
        <v>44741.0</v>
      </c>
      <c r="G290" s="157">
        <v>-742.0</v>
      </c>
    </row>
    <row r="291" ht="22.5" customHeight="1">
      <c r="A291" s="156" t="s">
        <v>68</v>
      </c>
      <c r="B291" s="156" t="s">
        <v>46</v>
      </c>
      <c r="C291" s="156">
        <v>29.64</v>
      </c>
      <c r="D291" s="156">
        <v>16.87</v>
      </c>
      <c r="E291" s="157">
        <v>499.0</v>
      </c>
      <c r="F291" s="158">
        <v>44727.0</v>
      </c>
      <c r="G291" s="157">
        <v>-499.0</v>
      </c>
    </row>
    <row r="292" ht="22.5" customHeight="1">
      <c r="A292" s="156" t="s">
        <v>68</v>
      </c>
      <c r="B292" s="156" t="s">
        <v>46</v>
      </c>
      <c r="C292" s="156">
        <v>29.53</v>
      </c>
      <c r="D292" s="156">
        <v>16.93</v>
      </c>
      <c r="E292" s="157">
        <v>499.0</v>
      </c>
      <c r="F292" s="158">
        <v>44697.0</v>
      </c>
      <c r="G292" s="157">
        <v>-499.0</v>
      </c>
    </row>
    <row r="293" ht="22.5" customHeight="1">
      <c r="A293" s="156" t="s">
        <v>68</v>
      </c>
      <c r="B293" s="156" t="s">
        <v>46</v>
      </c>
      <c r="C293" s="156">
        <v>27.41</v>
      </c>
      <c r="D293" s="156">
        <v>18.24</v>
      </c>
      <c r="E293" s="157">
        <v>499.0</v>
      </c>
      <c r="F293" s="158">
        <v>44669.0</v>
      </c>
      <c r="G293" s="157">
        <v>-499.0</v>
      </c>
    </row>
    <row r="294" ht="22.5" customHeight="1">
      <c r="A294" s="156" t="s">
        <v>68</v>
      </c>
      <c r="B294" s="156" t="s">
        <v>46</v>
      </c>
      <c r="C294" s="156">
        <v>28.09</v>
      </c>
      <c r="D294" s="156">
        <v>17.8</v>
      </c>
      <c r="E294" s="157">
        <v>499.0</v>
      </c>
      <c r="F294" s="158">
        <v>44635.0</v>
      </c>
      <c r="G294" s="157">
        <v>-499.0</v>
      </c>
    </row>
    <row r="295" ht="22.5" customHeight="1">
      <c r="A295" s="156" t="s">
        <v>68</v>
      </c>
      <c r="B295" s="156" t="s">
        <v>46</v>
      </c>
      <c r="C295" s="156">
        <v>26.94</v>
      </c>
      <c r="D295" s="156">
        <v>18.56</v>
      </c>
      <c r="E295" s="157">
        <v>499.0</v>
      </c>
      <c r="F295" s="158">
        <v>44607.0</v>
      </c>
      <c r="G295" s="157">
        <v>-499.0</v>
      </c>
    </row>
    <row r="296" ht="22.5" customHeight="1">
      <c r="A296" s="156" t="s">
        <v>68</v>
      </c>
      <c r="B296" s="156" t="s">
        <v>46</v>
      </c>
      <c r="C296" s="156">
        <v>25.58</v>
      </c>
      <c r="D296" s="156">
        <v>19.55</v>
      </c>
      <c r="E296" s="157">
        <v>499.0</v>
      </c>
      <c r="F296" s="158">
        <v>44578.0</v>
      </c>
      <c r="G296" s="157">
        <v>-499.0</v>
      </c>
    </row>
    <row r="297" ht="22.5" customHeight="1">
      <c r="A297" s="156" t="s">
        <v>68</v>
      </c>
      <c r="B297" s="156" t="s">
        <v>46</v>
      </c>
      <c r="C297" s="156">
        <v>27.13</v>
      </c>
      <c r="D297" s="156">
        <v>18.43</v>
      </c>
      <c r="E297" s="157">
        <v>499.0</v>
      </c>
      <c r="F297" s="158">
        <v>44545.0</v>
      </c>
      <c r="G297" s="157">
        <v>-499.0</v>
      </c>
    </row>
    <row r="298" ht="22.5" customHeight="1">
      <c r="A298" s="156" t="s">
        <v>68</v>
      </c>
      <c r="B298" s="156" t="s">
        <v>46</v>
      </c>
      <c r="C298" s="156">
        <v>25.81</v>
      </c>
      <c r="D298" s="156">
        <v>19.37</v>
      </c>
      <c r="E298" s="157">
        <v>499.0</v>
      </c>
      <c r="F298" s="158">
        <v>44515.0</v>
      </c>
      <c r="G298" s="157">
        <v>-499.0</v>
      </c>
    </row>
    <row r="299" ht="22.5" customHeight="1">
      <c r="A299" s="156" t="s">
        <v>68</v>
      </c>
      <c r="B299" s="156" t="s">
        <v>46</v>
      </c>
      <c r="C299" s="156">
        <v>25.4</v>
      </c>
      <c r="D299" s="156">
        <v>19.68</v>
      </c>
      <c r="E299" s="157">
        <v>499.0</v>
      </c>
      <c r="F299" s="158">
        <v>44487.0</v>
      </c>
      <c r="G299" s="157">
        <v>-499.0</v>
      </c>
    </row>
    <row r="300" ht="22.5" customHeight="1">
      <c r="A300" s="156" t="s">
        <v>68</v>
      </c>
      <c r="B300" s="156" t="s">
        <v>46</v>
      </c>
      <c r="C300" s="156">
        <v>26.71</v>
      </c>
      <c r="D300" s="156">
        <v>18.72</v>
      </c>
      <c r="E300" s="157">
        <v>499.0</v>
      </c>
      <c r="F300" s="158">
        <v>44454.0</v>
      </c>
      <c r="G300" s="157">
        <v>-499.0</v>
      </c>
    </row>
    <row r="301" ht="22.5" customHeight="1">
      <c r="A301" s="156" t="s">
        <v>68</v>
      </c>
      <c r="B301" s="156" t="s">
        <v>46</v>
      </c>
      <c r="C301" s="156">
        <v>28.23</v>
      </c>
      <c r="D301" s="156">
        <v>17.71</v>
      </c>
      <c r="E301" s="157">
        <v>499.0</v>
      </c>
      <c r="F301" s="158">
        <v>44424.0</v>
      </c>
      <c r="G301" s="157">
        <v>-499.0</v>
      </c>
    </row>
    <row r="302" ht="22.5" customHeight="1">
      <c r="A302" s="156" t="s">
        <v>68</v>
      </c>
      <c r="B302" s="156" t="s">
        <v>46</v>
      </c>
      <c r="C302" s="156">
        <v>29.55</v>
      </c>
      <c r="D302" s="156">
        <v>16.92</v>
      </c>
      <c r="E302" s="157">
        <v>499.0</v>
      </c>
      <c r="F302" s="158">
        <v>44393.0</v>
      </c>
      <c r="G302" s="157">
        <v>-499.0</v>
      </c>
    </row>
    <row r="303" ht="22.5" customHeight="1">
      <c r="A303" s="159" t="s">
        <v>18</v>
      </c>
      <c r="B303" s="160"/>
      <c r="C303" s="160">
        <v>0.0</v>
      </c>
      <c r="D303" s="160"/>
      <c r="E303" s="183"/>
      <c r="F303" s="184"/>
      <c r="G303" s="183"/>
    </row>
    <row r="304">
      <c r="F304" s="45" t="s">
        <v>28</v>
      </c>
      <c r="G304" s="46">
        <v>0.15787275705334733</v>
      </c>
    </row>
    <row r="305">
      <c r="A305" s="113" t="s">
        <v>56</v>
      </c>
    </row>
    <row r="306">
      <c r="H306" s="16"/>
      <c r="I306" s="16"/>
      <c r="J306" s="8" t="s">
        <v>116</v>
      </c>
      <c r="K306" s="8" t="s">
        <v>116</v>
      </c>
    </row>
    <row r="307" ht="22.5" customHeight="1">
      <c r="A307" s="154" t="s">
        <v>38</v>
      </c>
      <c r="B307" s="155" t="s">
        <v>39</v>
      </c>
      <c r="C307" s="154" t="s">
        <v>40</v>
      </c>
      <c r="D307" s="154" t="s">
        <v>41</v>
      </c>
      <c r="E307" s="154" t="s">
        <v>42</v>
      </c>
      <c r="F307" s="154" t="s">
        <v>43</v>
      </c>
      <c r="G307" s="154" t="s">
        <v>44</v>
      </c>
    </row>
    <row r="308" ht="22.5" customHeight="1">
      <c r="A308" s="129" t="s">
        <v>56</v>
      </c>
      <c r="B308" s="129" t="s">
        <v>49</v>
      </c>
      <c r="C308" s="128">
        <v>1041.15</v>
      </c>
      <c r="D308" s="128">
        <v>30.9</v>
      </c>
      <c r="E308" s="162">
        <v>32168.0</v>
      </c>
      <c r="F308" s="163">
        <v>45488.0</v>
      </c>
      <c r="G308" s="162">
        <v>32168.0</v>
      </c>
    </row>
    <row r="309" ht="22.5" customHeight="1">
      <c r="A309" s="156" t="s">
        <v>56</v>
      </c>
      <c r="B309" s="156" t="s">
        <v>61</v>
      </c>
      <c r="C309" s="156">
        <v>1041.15</v>
      </c>
      <c r="D309" s="156">
        <v>30.11</v>
      </c>
      <c r="E309" s="157">
        <v>31349.0</v>
      </c>
      <c r="F309" s="158">
        <v>45363.0</v>
      </c>
      <c r="G309" s="157">
        <v>-31349.0</v>
      </c>
    </row>
    <row r="310" ht="22.5" customHeight="1">
      <c r="A310" s="159" t="s">
        <v>18</v>
      </c>
      <c r="B310" s="160"/>
      <c r="C310" s="160"/>
      <c r="D310" s="160"/>
      <c r="E310" s="160"/>
      <c r="F310" s="161"/>
      <c r="G310" s="160"/>
      <c r="J310" s="134"/>
      <c r="K310" s="134"/>
      <c r="L310" s="135"/>
      <c r="M310" s="135"/>
      <c r="N310" s="148"/>
      <c r="O310" s="151"/>
      <c r="P310" s="148"/>
    </row>
    <row r="311">
      <c r="F311" s="45" t="s">
        <v>28</v>
      </c>
      <c r="G311" s="46">
        <f>XIRR(G308:G309,F308:F309)</f>
        <v>0.07821426979</v>
      </c>
    </row>
    <row r="312">
      <c r="A312" s="113" t="s">
        <v>60</v>
      </c>
    </row>
    <row r="313">
      <c r="H313" s="16"/>
      <c r="I313" s="16"/>
      <c r="J313" s="8" t="s">
        <v>116</v>
      </c>
      <c r="K313" s="8" t="s">
        <v>116</v>
      </c>
    </row>
    <row r="314" ht="22.5" customHeight="1">
      <c r="A314" s="154" t="s">
        <v>38</v>
      </c>
      <c r="B314" s="155" t="s">
        <v>39</v>
      </c>
      <c r="C314" s="154" t="s">
        <v>40</v>
      </c>
      <c r="D314" s="154" t="s">
        <v>41</v>
      </c>
      <c r="E314" s="154" t="s">
        <v>42</v>
      </c>
      <c r="F314" s="154" t="s">
        <v>43</v>
      </c>
      <c r="G314" s="154" t="s">
        <v>44</v>
      </c>
    </row>
    <row r="315" ht="22.5" customHeight="1">
      <c r="A315" s="129" t="s">
        <v>60</v>
      </c>
      <c r="B315" s="129" t="s">
        <v>49</v>
      </c>
      <c r="C315" s="128">
        <v>1551.31</v>
      </c>
      <c r="D315" s="128">
        <v>13.06</v>
      </c>
      <c r="E315" s="162">
        <v>20261.0</v>
      </c>
      <c r="F315" s="193">
        <v>45477.0</v>
      </c>
      <c r="G315" s="162">
        <v>20261.0</v>
      </c>
    </row>
    <row r="316" ht="22.5" customHeight="1">
      <c r="A316" s="156" t="s">
        <v>60</v>
      </c>
      <c r="B316" s="156" t="s">
        <v>61</v>
      </c>
      <c r="C316" s="156">
        <v>1551.32</v>
      </c>
      <c r="D316" s="156">
        <v>12.79</v>
      </c>
      <c r="E316" s="157">
        <v>19834.0</v>
      </c>
      <c r="F316" s="158">
        <v>45358.0</v>
      </c>
      <c r="G316" s="157">
        <v>-19834.0</v>
      </c>
    </row>
    <row r="317" ht="22.5" customHeight="1">
      <c r="A317" s="159" t="s">
        <v>18</v>
      </c>
      <c r="B317" s="160"/>
      <c r="C317" s="160"/>
      <c r="D317" s="160"/>
      <c r="E317" s="160"/>
      <c r="F317" s="161"/>
      <c r="G317" s="160"/>
    </row>
    <row r="318">
      <c r="F318" s="45" t="s">
        <v>28</v>
      </c>
      <c r="G318" s="46">
        <f>XIRR(G315:G316,F315:F316)</f>
        <v>0.0675140259</v>
      </c>
    </row>
    <row r="319">
      <c r="A319" s="113" t="s">
        <v>55</v>
      </c>
    </row>
    <row r="321" ht="22.5" customHeight="1">
      <c r="A321" s="154" t="s">
        <v>38</v>
      </c>
      <c r="B321" s="155" t="s">
        <v>39</v>
      </c>
      <c r="C321" s="154" t="s">
        <v>40</v>
      </c>
      <c r="D321" s="154" t="s">
        <v>41</v>
      </c>
      <c r="E321" s="154" t="s">
        <v>42</v>
      </c>
      <c r="F321" s="154" t="s">
        <v>43</v>
      </c>
      <c r="G321" s="154" t="s">
        <v>44</v>
      </c>
    </row>
    <row r="322" ht="22.5" customHeight="1">
      <c r="A322" s="129" t="s">
        <v>55</v>
      </c>
      <c r="B322" s="129" t="s">
        <v>49</v>
      </c>
      <c r="C322" s="128">
        <v>2.51</v>
      </c>
      <c r="D322" s="190">
        <v>39.2</v>
      </c>
      <c r="E322" s="128">
        <v>98.0</v>
      </c>
      <c r="F322" s="163">
        <v>45491.0</v>
      </c>
      <c r="G322" s="128">
        <v>98.0</v>
      </c>
    </row>
    <row r="323" ht="22.5" customHeight="1">
      <c r="A323" s="129" t="s">
        <v>55</v>
      </c>
      <c r="B323" s="129" t="s">
        <v>46</v>
      </c>
      <c r="C323" s="128">
        <v>2.51</v>
      </c>
      <c r="D323" s="128">
        <v>39.91</v>
      </c>
      <c r="E323" s="128">
        <v>100.0</v>
      </c>
      <c r="F323" s="163">
        <v>45489.0</v>
      </c>
      <c r="G323" s="194">
        <v>-100.0</v>
      </c>
    </row>
    <row r="324" ht="22.5" customHeight="1">
      <c r="A324" s="159" t="s">
        <v>18</v>
      </c>
      <c r="B324" s="160"/>
      <c r="C324" s="160"/>
      <c r="D324" s="160"/>
      <c r="E324" s="160"/>
      <c r="F324" s="161"/>
      <c r="G324" s="160"/>
    </row>
    <row r="325">
      <c r="F325" s="45" t="s">
        <v>28</v>
      </c>
      <c r="G325" s="46">
        <f>XIRR(G322:G323,F322:F323)</f>
        <v>-0.9749528213</v>
      </c>
    </row>
    <row r="326">
      <c r="A326" s="195" t="s">
        <v>45</v>
      </c>
    </row>
    <row r="328" ht="22.5" customHeight="1">
      <c r="A328" s="154" t="s">
        <v>38</v>
      </c>
      <c r="B328" s="155" t="s">
        <v>39</v>
      </c>
      <c r="C328" s="154" t="s">
        <v>40</v>
      </c>
      <c r="D328" s="154" t="s">
        <v>41</v>
      </c>
      <c r="E328" s="154" t="s">
        <v>42</v>
      </c>
      <c r="F328" s="154" t="s">
        <v>43</v>
      </c>
      <c r="G328" s="154" t="s">
        <v>44</v>
      </c>
    </row>
    <row r="329" ht="22.5" customHeight="1">
      <c r="A329" s="129" t="s">
        <v>45</v>
      </c>
      <c r="B329" s="129" t="s">
        <v>46</v>
      </c>
      <c r="C329" s="128">
        <v>20.21</v>
      </c>
      <c r="D329" s="128">
        <v>24.74</v>
      </c>
      <c r="E329" s="128">
        <v>499.0</v>
      </c>
      <c r="F329" s="182">
        <v>45489.0</v>
      </c>
      <c r="G329" s="194">
        <v>-499.0</v>
      </c>
    </row>
    <row r="330" ht="22.5" customHeight="1">
      <c r="A330" s="196" t="s">
        <v>45</v>
      </c>
      <c r="B330" s="196" t="s">
        <v>46</v>
      </c>
      <c r="C330" s="190">
        <v>411.33</v>
      </c>
      <c r="D330" s="190">
        <v>24.31</v>
      </c>
      <c r="E330" s="162">
        <v>9999.0</v>
      </c>
      <c r="F330" s="182">
        <v>45498.0</v>
      </c>
      <c r="G330" s="197">
        <v>-9999.0</v>
      </c>
    </row>
    <row r="331" ht="22.5" customHeight="1">
      <c r="A331" s="129" t="s">
        <v>45</v>
      </c>
      <c r="B331" s="196" t="s">
        <v>46</v>
      </c>
      <c r="C331" s="198">
        <v>20.35</v>
      </c>
      <c r="D331" s="194">
        <v>24.57</v>
      </c>
      <c r="E331" s="194">
        <v>499.0</v>
      </c>
      <c r="F331" s="199">
        <v>45520.0</v>
      </c>
      <c r="G331" s="128">
        <v>-499.0</v>
      </c>
    </row>
    <row r="332" ht="22.5" customHeight="1">
      <c r="A332" s="129" t="s">
        <v>45</v>
      </c>
      <c r="B332" s="196" t="s">
        <v>46</v>
      </c>
      <c r="C332" s="194">
        <v>292.23</v>
      </c>
      <c r="D332" s="194">
        <v>24.98</v>
      </c>
      <c r="E332" s="197">
        <v>7299.0</v>
      </c>
      <c r="F332" s="199">
        <v>45527.0</v>
      </c>
      <c r="G332" s="128">
        <v>-7299.0</v>
      </c>
    </row>
    <row r="333" ht="22.5" customHeight="1">
      <c r="A333" s="200" t="s">
        <v>45</v>
      </c>
      <c r="B333" s="196" t="s">
        <v>46</v>
      </c>
      <c r="C333" s="126">
        <v>19.46</v>
      </c>
      <c r="D333" s="126">
        <v>25.69</v>
      </c>
      <c r="E333" s="172">
        <v>499.0</v>
      </c>
      <c r="F333" s="192">
        <v>45551.0</v>
      </c>
      <c r="G333" s="156">
        <f>IF(E333="", "", IF(OR(B333="PURCHASE", B333="SWITCH PURCHASE"), E333*-1, E333))
</f>
        <v>-499</v>
      </c>
    </row>
    <row r="334" ht="22.5" customHeight="1">
      <c r="A334" s="200" t="s">
        <v>45</v>
      </c>
      <c r="B334" s="169" t="s">
        <v>46</v>
      </c>
      <c r="C334" s="126">
        <v>19.64</v>
      </c>
      <c r="D334" s="126">
        <v>25.46</v>
      </c>
      <c r="E334" s="172">
        <v>499.0</v>
      </c>
      <c r="F334" s="192">
        <v>45581.0</v>
      </c>
      <c r="G334" s="156">
        <v>-499.0</v>
      </c>
    </row>
    <row r="335" ht="22.5" customHeight="1">
      <c r="A335" s="200" t="s">
        <v>45</v>
      </c>
      <c r="B335" s="169" t="s">
        <v>46</v>
      </c>
      <c r="C335" s="126">
        <v>83.11</v>
      </c>
      <c r="D335" s="126">
        <v>24.06</v>
      </c>
      <c r="E335" s="172">
        <v>1999.0</v>
      </c>
      <c r="F335" s="192">
        <v>45596.0</v>
      </c>
      <c r="G335" s="156">
        <v>-1999.0</v>
      </c>
    </row>
    <row r="336" ht="22.5" customHeight="1">
      <c r="A336" s="200" t="s">
        <v>45</v>
      </c>
      <c r="B336" s="169" t="s">
        <v>46</v>
      </c>
      <c r="C336" s="126">
        <v>21.61</v>
      </c>
      <c r="D336" s="126">
        <v>23.14</v>
      </c>
      <c r="E336" s="172">
        <v>499.0</v>
      </c>
      <c r="F336" s="192">
        <v>45614.0</v>
      </c>
      <c r="G336" s="156">
        <v>-499.0</v>
      </c>
    </row>
    <row r="337" ht="22.5" customHeight="1">
      <c r="A337" s="200" t="s">
        <v>45</v>
      </c>
      <c r="B337" s="169" t="s">
        <v>46</v>
      </c>
      <c r="C337" s="126">
        <v>19.81</v>
      </c>
      <c r="D337" s="126">
        <v>25.24</v>
      </c>
      <c r="E337" s="172">
        <v>499.0</v>
      </c>
      <c r="F337" s="192">
        <v>45642.0</v>
      </c>
      <c r="G337" s="156">
        <v>-499.0</v>
      </c>
    </row>
    <row r="338" ht="22.5" customHeight="1">
      <c r="A338" s="174" t="s">
        <v>45</v>
      </c>
      <c r="B338" s="169" t="s">
        <v>46</v>
      </c>
      <c r="C338" s="175">
        <v>21.73</v>
      </c>
      <c r="D338" s="175">
        <v>23.0</v>
      </c>
      <c r="E338" s="176">
        <v>499.0</v>
      </c>
      <c r="F338" s="201">
        <v>45672.0</v>
      </c>
      <c r="G338" s="178">
        <v>-499.0</v>
      </c>
    </row>
    <row r="339" ht="22.5" customHeight="1">
      <c r="A339" s="174" t="s">
        <v>45</v>
      </c>
      <c r="B339" s="169" t="s">
        <v>46</v>
      </c>
      <c r="C339" s="175">
        <v>21.48</v>
      </c>
      <c r="D339" s="175">
        <v>23.28</v>
      </c>
      <c r="E339" s="176">
        <v>499.0</v>
      </c>
      <c r="F339" s="201">
        <v>45674.0</v>
      </c>
      <c r="G339" s="178">
        <v>-499.0</v>
      </c>
    </row>
    <row r="340" ht="22.5" customHeight="1">
      <c r="A340" s="174" t="s">
        <v>45</v>
      </c>
      <c r="B340" s="169" t="s">
        <v>46</v>
      </c>
      <c r="C340" s="175">
        <v>23.53</v>
      </c>
      <c r="D340" s="175">
        <v>21.25</v>
      </c>
      <c r="E340" s="176">
        <v>499.0</v>
      </c>
      <c r="F340" s="201">
        <v>45705.0</v>
      </c>
      <c r="G340" s="178">
        <v>-499.0</v>
      </c>
    </row>
    <row r="341" ht="22.5" customHeight="1">
      <c r="A341" s="174" t="s">
        <v>45</v>
      </c>
      <c r="B341" s="169" t="s">
        <v>46</v>
      </c>
      <c r="C341" s="175">
        <v>23.53</v>
      </c>
      <c r="D341" s="175">
        <v>21.25</v>
      </c>
      <c r="E341" s="176">
        <v>499.0</v>
      </c>
      <c r="F341" s="201">
        <v>45705.0</v>
      </c>
      <c r="G341" s="178">
        <v>-499.0</v>
      </c>
    </row>
    <row r="342" ht="22.5" customHeight="1">
      <c r="A342" s="174" t="s">
        <v>45</v>
      </c>
      <c r="B342" s="169" t="s">
        <v>46</v>
      </c>
      <c r="C342" s="175">
        <v>24.02</v>
      </c>
      <c r="D342" s="175">
        <v>20.81</v>
      </c>
      <c r="E342" s="176">
        <v>499.0</v>
      </c>
      <c r="F342" s="201">
        <v>45733.0</v>
      </c>
      <c r="G342" s="178">
        <v>-499.0</v>
      </c>
    </row>
    <row r="343" ht="22.5" customHeight="1">
      <c r="A343" s="174" t="s">
        <v>45</v>
      </c>
      <c r="B343" s="169" t="s">
        <v>46</v>
      </c>
      <c r="C343" s="175">
        <v>24.02</v>
      </c>
      <c r="D343" s="175">
        <v>20.81</v>
      </c>
      <c r="E343" s="176">
        <v>499.0</v>
      </c>
      <c r="F343" s="201">
        <v>45733.0</v>
      </c>
      <c r="G343" s="178">
        <v>-499.0</v>
      </c>
    </row>
    <row r="344" ht="22.5" customHeight="1">
      <c r="A344" s="174" t="s">
        <v>45</v>
      </c>
      <c r="B344" s="169" t="s">
        <v>46</v>
      </c>
      <c r="C344" s="175">
        <v>55.61</v>
      </c>
      <c r="D344" s="175">
        <v>22.11</v>
      </c>
      <c r="E344" s="176">
        <v>1230.0</v>
      </c>
      <c r="F344" s="201">
        <v>45743.0</v>
      </c>
      <c r="G344" s="178">
        <v>-1230.0</v>
      </c>
    </row>
    <row r="345" ht="22.5" customHeight="1">
      <c r="A345" s="200" t="s">
        <v>45</v>
      </c>
      <c r="B345" s="169" t="s">
        <v>46</v>
      </c>
      <c r="C345" s="126">
        <v>22.61</v>
      </c>
      <c r="D345" s="126">
        <v>22.12</v>
      </c>
      <c r="E345" s="172">
        <v>499.0</v>
      </c>
      <c r="F345" s="192">
        <v>45762.0</v>
      </c>
      <c r="G345" s="156">
        <f t="shared" ref="G345:G348" si="2">IF(E345="", "", IF(OR(B345="PURCHASE", B345="SWITCH PURCHASE"), E345*-1, E345))
</f>
        <v>-499</v>
      </c>
    </row>
    <row r="346" ht="22.5" customHeight="1">
      <c r="A346" s="200" t="s">
        <v>45</v>
      </c>
      <c r="B346" s="169" t="s">
        <v>46</v>
      </c>
      <c r="C346" s="126">
        <v>20.87</v>
      </c>
      <c r="D346" s="126">
        <v>23.96</v>
      </c>
      <c r="E346" s="172">
        <v>499.0</v>
      </c>
      <c r="F346" s="192">
        <v>45792.0</v>
      </c>
      <c r="G346" s="156">
        <f t="shared" si="2"/>
        <v>-499</v>
      </c>
    </row>
    <row r="347" ht="22.5" customHeight="1">
      <c r="A347" s="200" t="s">
        <v>45</v>
      </c>
      <c r="B347" s="169" t="s">
        <v>46</v>
      </c>
      <c r="C347" s="126">
        <v>20.08</v>
      </c>
      <c r="D347" s="126">
        <v>24.9</v>
      </c>
      <c r="E347" s="172">
        <v>499.0</v>
      </c>
      <c r="F347" s="192">
        <v>45824.0</v>
      </c>
      <c r="G347" s="156">
        <f t="shared" si="2"/>
        <v>-499</v>
      </c>
    </row>
    <row r="348" ht="22.5" customHeight="1">
      <c r="A348" s="200" t="s">
        <v>45</v>
      </c>
      <c r="B348" s="169" t="s">
        <v>46</v>
      </c>
      <c r="C348" s="126">
        <v>19.73</v>
      </c>
      <c r="D348" s="126">
        <v>25.35</v>
      </c>
      <c r="E348" s="172">
        <v>499.0</v>
      </c>
      <c r="F348" s="192">
        <v>45853.0</v>
      </c>
      <c r="G348" s="156">
        <f t="shared" si="2"/>
        <v>-499</v>
      </c>
    </row>
    <row r="349" ht="22.5" customHeight="1">
      <c r="A349" s="200" t="s">
        <v>45</v>
      </c>
      <c r="B349" s="169" t="s">
        <v>46</v>
      </c>
      <c r="C349" s="126">
        <v>20.36</v>
      </c>
      <c r="D349" s="126">
        <v>24.56</v>
      </c>
      <c r="E349" s="172">
        <v>499.0</v>
      </c>
      <c r="F349" s="192">
        <v>45887.0</v>
      </c>
      <c r="G349" s="156">
        <v>-499.0</v>
      </c>
    </row>
    <row r="350" ht="22.5" customHeight="1">
      <c r="A350" s="200" t="s">
        <v>45</v>
      </c>
      <c r="B350" s="169" t="s">
        <v>46</v>
      </c>
      <c r="C350" s="126">
        <v>19.98</v>
      </c>
      <c r="D350" s="126">
        <v>25.02</v>
      </c>
      <c r="E350" s="172">
        <v>499.0</v>
      </c>
      <c r="F350" s="192">
        <v>45915.0</v>
      </c>
      <c r="G350" s="156">
        <v>-499.0</v>
      </c>
    </row>
    <row r="351" ht="22.5" customHeight="1">
      <c r="A351" s="200" t="s">
        <v>45</v>
      </c>
      <c r="B351" s="169" t="s">
        <v>46</v>
      </c>
      <c r="C351" s="126">
        <v>19.77</v>
      </c>
      <c r="D351" s="126">
        <v>25.3</v>
      </c>
      <c r="E351" s="172">
        <v>499.0</v>
      </c>
      <c r="F351" s="192">
        <v>45918.0</v>
      </c>
      <c r="G351" s="156">
        <v>-499.0</v>
      </c>
    </row>
    <row r="352" ht="22.5" customHeight="1">
      <c r="A352" s="200" t="s">
        <v>45</v>
      </c>
      <c r="B352" s="169" t="s">
        <v>46</v>
      </c>
      <c r="C352" s="126">
        <v>19.87</v>
      </c>
      <c r="D352" s="126">
        <v>25.16</v>
      </c>
      <c r="E352" s="172">
        <v>499.0</v>
      </c>
      <c r="F352" s="192">
        <v>45945.0</v>
      </c>
      <c r="G352" s="156">
        <v>-499.0</v>
      </c>
    </row>
    <row r="353" ht="22.5" customHeight="1">
      <c r="A353" s="200" t="s">
        <v>45</v>
      </c>
      <c r="B353" s="169" t="s">
        <v>46</v>
      </c>
      <c r="C353" s="126">
        <v>19.25</v>
      </c>
      <c r="D353" s="126">
        <v>25.97</v>
      </c>
      <c r="E353" s="172">
        <v>499.0</v>
      </c>
      <c r="F353" s="192">
        <v>45978.0</v>
      </c>
      <c r="G353" s="156">
        <v>-499.0</v>
      </c>
    </row>
    <row r="354" ht="22.5" customHeight="1">
      <c r="A354" s="200" t="s">
        <v>45</v>
      </c>
      <c r="B354" s="169" t="s">
        <v>46</v>
      </c>
      <c r="C354" s="126">
        <v>19.55</v>
      </c>
      <c r="D354" s="126">
        <v>25.58</v>
      </c>
      <c r="E354" s="172">
        <v>499.0</v>
      </c>
      <c r="F354" s="192">
        <v>46006.0</v>
      </c>
      <c r="G354" s="156">
        <v>-499.0</v>
      </c>
    </row>
    <row r="355" ht="22.5" customHeight="1">
      <c r="A355" s="159" t="s">
        <v>18</v>
      </c>
      <c r="B355" s="160"/>
      <c r="C355" s="160">
        <f>'MF holdings and transactions'!I318</f>
        <v>1283.959</v>
      </c>
      <c r="D355" s="160">
        <f>'MF holdings and transactions'!G318</f>
        <v>24.28</v>
      </c>
      <c r="E355" s="160"/>
      <c r="F355" s="184">
        <f>TODAY()</f>
        <v>46048</v>
      </c>
      <c r="G355" s="180">
        <f>'MF holdings and transactions'!K318</f>
        <v>31174.52452</v>
      </c>
    </row>
    <row r="356">
      <c r="F356" s="45" t="s">
        <v>28</v>
      </c>
      <c r="G356" s="46">
        <f>XIRR(G330:G355,F330:F355)</f>
        <v>0.004528206961</v>
      </c>
    </row>
    <row r="357">
      <c r="A357" s="113" t="s">
        <v>47</v>
      </c>
    </row>
    <row r="359" ht="22.5" customHeight="1">
      <c r="A359" s="154" t="s">
        <v>38</v>
      </c>
      <c r="B359" s="155" t="s">
        <v>39</v>
      </c>
      <c r="C359" s="154" t="s">
        <v>40</v>
      </c>
      <c r="D359" s="154" t="s">
        <v>41</v>
      </c>
      <c r="E359" s="154" t="s">
        <v>42</v>
      </c>
      <c r="F359" s="154" t="s">
        <v>43</v>
      </c>
      <c r="G359" s="154" t="s">
        <v>44</v>
      </c>
    </row>
    <row r="360" ht="22.5" customHeight="1">
      <c r="A360" s="129" t="s">
        <v>47</v>
      </c>
      <c r="B360" s="129" t="s">
        <v>46</v>
      </c>
      <c r="C360" s="128">
        <v>412.32</v>
      </c>
      <c r="D360" s="190">
        <v>24.25</v>
      </c>
      <c r="E360" s="162">
        <v>9999.0</v>
      </c>
      <c r="F360" s="182">
        <v>45498.0</v>
      </c>
      <c r="G360" s="197">
        <v>-9999.0</v>
      </c>
    </row>
    <row r="361" ht="22.5" customHeight="1">
      <c r="A361" s="129" t="s">
        <v>47</v>
      </c>
      <c r="B361" s="129" t="s">
        <v>46</v>
      </c>
      <c r="C361" s="128">
        <v>19.96</v>
      </c>
      <c r="D361" s="128">
        <v>25.04</v>
      </c>
      <c r="E361" s="128">
        <v>499.0</v>
      </c>
      <c r="F361" s="182">
        <v>45489.0</v>
      </c>
      <c r="G361" s="194">
        <v>-499.0</v>
      </c>
    </row>
    <row r="362" ht="22.5" customHeight="1">
      <c r="A362" s="129" t="s">
        <v>47</v>
      </c>
      <c r="B362" s="196" t="s">
        <v>46</v>
      </c>
      <c r="C362" s="194">
        <v>20.21</v>
      </c>
      <c r="D362" s="194">
        <v>24.73</v>
      </c>
      <c r="E362" s="194">
        <v>499.0</v>
      </c>
      <c r="F362" s="199">
        <v>45520.0</v>
      </c>
      <c r="G362" s="128">
        <v>-499.0</v>
      </c>
    </row>
    <row r="363" ht="22.5" customHeight="1">
      <c r="A363" s="129" t="s">
        <v>47</v>
      </c>
      <c r="B363" s="196" t="s">
        <v>46</v>
      </c>
      <c r="C363" s="194">
        <v>289.67</v>
      </c>
      <c r="D363" s="194">
        <v>25.2</v>
      </c>
      <c r="E363" s="197">
        <v>7299.0</v>
      </c>
      <c r="F363" s="199">
        <v>45527.0</v>
      </c>
      <c r="G363" s="128">
        <v>-7299.0</v>
      </c>
    </row>
    <row r="364" ht="22.5" customHeight="1">
      <c r="A364" s="200" t="s">
        <v>47</v>
      </c>
      <c r="B364" s="196" t="s">
        <v>46</v>
      </c>
      <c r="C364" s="126">
        <v>19.84</v>
      </c>
      <c r="D364" s="126">
        <v>25.2</v>
      </c>
      <c r="E364" s="172">
        <v>499.0</v>
      </c>
      <c r="F364" s="192">
        <v>45551.0</v>
      </c>
      <c r="G364" s="156">
        <f>IF(E364="", "", IF(OR(B364="PURCHASE", B364="SWITCH PURCHASE"), E364*-1, E364))
</f>
        <v>-499</v>
      </c>
    </row>
    <row r="365" ht="22.5" customHeight="1">
      <c r="A365" s="200" t="s">
        <v>47</v>
      </c>
      <c r="B365" s="169" t="s">
        <v>46</v>
      </c>
      <c r="C365" s="126">
        <v>19.42</v>
      </c>
      <c r="D365" s="126">
        <v>25.74</v>
      </c>
      <c r="E365" s="172">
        <v>499.0</v>
      </c>
      <c r="F365" s="192">
        <v>45581.0</v>
      </c>
      <c r="G365" s="156">
        <v>-499.0</v>
      </c>
    </row>
    <row r="366" ht="22.5" customHeight="1">
      <c r="A366" s="200" t="s">
        <v>47</v>
      </c>
      <c r="B366" s="169" t="s">
        <v>46</v>
      </c>
      <c r="C366" s="126">
        <v>117.68</v>
      </c>
      <c r="D366" s="126">
        <v>23.79</v>
      </c>
      <c r="E366" s="172">
        <v>2799.0</v>
      </c>
      <c r="F366" s="192">
        <v>45596.0</v>
      </c>
      <c r="G366" s="156">
        <v>-2799.0</v>
      </c>
    </row>
    <row r="367" ht="22.5" customHeight="1">
      <c r="A367" s="200" t="s">
        <v>47</v>
      </c>
      <c r="B367" s="169" t="s">
        <v>46</v>
      </c>
      <c r="C367" s="126">
        <v>22.05</v>
      </c>
      <c r="D367" s="126">
        <v>22.67</v>
      </c>
      <c r="E367" s="172">
        <v>499.0</v>
      </c>
      <c r="F367" s="192">
        <v>45614.0</v>
      </c>
      <c r="G367" s="156">
        <v>-499.0</v>
      </c>
    </row>
    <row r="368" ht="22.5" customHeight="1">
      <c r="A368" s="200" t="s">
        <v>47</v>
      </c>
      <c r="B368" s="169" t="s">
        <v>46</v>
      </c>
      <c r="C368" s="126">
        <v>20.49</v>
      </c>
      <c r="D368" s="126">
        <v>24.4</v>
      </c>
      <c r="E368" s="172">
        <v>499.0</v>
      </c>
      <c r="F368" s="192">
        <v>45642.0</v>
      </c>
      <c r="G368" s="156">
        <v>-499.0</v>
      </c>
    </row>
    <row r="369" ht="22.5" customHeight="1">
      <c r="A369" s="174" t="s">
        <v>47</v>
      </c>
      <c r="B369" s="169" t="s">
        <v>46</v>
      </c>
      <c r="C369" s="175">
        <v>23.59</v>
      </c>
      <c r="D369" s="175">
        <v>21.19</v>
      </c>
      <c r="E369" s="176">
        <v>499.0</v>
      </c>
      <c r="F369" s="201">
        <v>45672.0</v>
      </c>
      <c r="G369" s="178">
        <v>-499.0</v>
      </c>
    </row>
    <row r="370" ht="22.5" customHeight="1">
      <c r="A370" s="174" t="s">
        <v>47</v>
      </c>
      <c r="B370" s="169" t="s">
        <v>46</v>
      </c>
      <c r="C370" s="175">
        <v>25.61</v>
      </c>
      <c r="D370" s="175">
        <v>19.52</v>
      </c>
      <c r="E370" s="176">
        <v>499.0</v>
      </c>
      <c r="F370" s="201">
        <v>45705.0</v>
      </c>
      <c r="G370" s="178">
        <v>-499.0</v>
      </c>
    </row>
    <row r="371" ht="22.5" customHeight="1">
      <c r="A371" s="174" t="s">
        <v>47</v>
      </c>
      <c r="B371" s="169" t="s">
        <v>46</v>
      </c>
      <c r="C371" s="175">
        <v>26.92</v>
      </c>
      <c r="D371" s="175">
        <v>18.57</v>
      </c>
      <c r="E371" s="176">
        <v>499.0</v>
      </c>
      <c r="F371" s="201">
        <v>45733.0</v>
      </c>
      <c r="G371" s="178">
        <v>-499.0</v>
      </c>
    </row>
    <row r="372" ht="22.5" customHeight="1">
      <c r="A372" s="200" t="s">
        <v>47</v>
      </c>
      <c r="B372" s="169" t="s">
        <v>46</v>
      </c>
      <c r="C372" s="126">
        <v>26.19</v>
      </c>
      <c r="D372" s="126">
        <v>19.09</v>
      </c>
      <c r="E372" s="172">
        <v>499.0</v>
      </c>
      <c r="F372" s="192">
        <v>45762.0</v>
      </c>
      <c r="G372" s="156">
        <f t="shared" ref="G372:G375" si="3">IF(E372="", "", IF(OR(B372="PURCHASE", B372="SWITCH PURCHASE"), E372*-1, E372))
</f>
        <v>-499</v>
      </c>
    </row>
    <row r="373" ht="22.5" customHeight="1">
      <c r="A373" s="200" t="s">
        <v>47</v>
      </c>
      <c r="B373" s="169" t="s">
        <v>46</v>
      </c>
      <c r="C373" s="126">
        <v>23.59</v>
      </c>
      <c r="D373" s="126">
        <v>21.19</v>
      </c>
      <c r="E373" s="172">
        <v>499.0</v>
      </c>
      <c r="F373" s="192">
        <v>45792.0</v>
      </c>
      <c r="G373" s="156">
        <f t="shared" si="3"/>
        <v>-499</v>
      </c>
    </row>
    <row r="374" ht="22.5" customHeight="1">
      <c r="A374" s="200" t="s">
        <v>47</v>
      </c>
      <c r="B374" s="169" t="s">
        <v>46</v>
      </c>
      <c r="C374" s="126">
        <v>23.0</v>
      </c>
      <c r="D374" s="126">
        <v>21.74</v>
      </c>
      <c r="E374" s="172">
        <v>499.0</v>
      </c>
      <c r="F374" s="192">
        <v>45824.0</v>
      </c>
      <c r="G374" s="156">
        <f t="shared" si="3"/>
        <v>-499</v>
      </c>
    </row>
    <row r="375" ht="22.5" customHeight="1">
      <c r="A375" s="200" t="s">
        <v>47</v>
      </c>
      <c r="B375" s="169" t="s">
        <v>46</v>
      </c>
      <c r="C375" s="126">
        <v>23.18</v>
      </c>
      <c r="D375" s="126">
        <v>21.57</v>
      </c>
      <c r="E375" s="172">
        <v>499.0</v>
      </c>
      <c r="F375" s="192">
        <v>45853.0</v>
      </c>
      <c r="G375" s="156">
        <f t="shared" si="3"/>
        <v>-499</v>
      </c>
    </row>
    <row r="376" ht="22.5" customHeight="1">
      <c r="A376" s="200" t="s">
        <v>47</v>
      </c>
      <c r="B376" s="169" t="s">
        <v>46</v>
      </c>
      <c r="C376" s="126">
        <v>23.52</v>
      </c>
      <c r="D376" s="126">
        <v>21.26</v>
      </c>
      <c r="E376" s="172">
        <v>499.0</v>
      </c>
      <c r="F376" s="192">
        <v>45887.0</v>
      </c>
      <c r="G376" s="156">
        <v>-499.0</v>
      </c>
    </row>
    <row r="377" ht="22.5" customHeight="1">
      <c r="A377" s="200" t="s">
        <v>47</v>
      </c>
      <c r="B377" s="169" t="s">
        <v>46</v>
      </c>
      <c r="C377" s="126">
        <v>23.41</v>
      </c>
      <c r="D377" s="126">
        <v>21.36</v>
      </c>
      <c r="E377" s="172">
        <v>499.0</v>
      </c>
      <c r="F377" s="192">
        <v>45915.0</v>
      </c>
      <c r="G377" s="156">
        <v>-499.0</v>
      </c>
    </row>
    <row r="378" ht="22.5" customHeight="1">
      <c r="A378" s="200" t="s">
        <v>47</v>
      </c>
      <c r="B378" s="169" t="s">
        <v>46</v>
      </c>
      <c r="C378" s="126">
        <v>22.84</v>
      </c>
      <c r="D378" s="126">
        <v>21.89</v>
      </c>
      <c r="E378" s="172">
        <v>499.0</v>
      </c>
      <c r="F378" s="192">
        <v>45945.0</v>
      </c>
      <c r="G378" s="156">
        <v>-499.0</v>
      </c>
    </row>
    <row r="379" ht="22.5" customHeight="1">
      <c r="A379" s="200" t="s">
        <v>47</v>
      </c>
      <c r="B379" s="169" t="s">
        <v>46</v>
      </c>
      <c r="C379" s="126">
        <v>22.51</v>
      </c>
      <c r="D379" s="126">
        <v>22.21</v>
      </c>
      <c r="E379" s="172">
        <v>499.0</v>
      </c>
      <c r="F379" s="192">
        <v>45978.0</v>
      </c>
      <c r="G379" s="156">
        <v>-499.0</v>
      </c>
    </row>
    <row r="380" ht="22.5" customHeight="1">
      <c r="A380" s="200" t="s">
        <v>47</v>
      </c>
      <c r="B380" s="169" t="s">
        <v>46</v>
      </c>
      <c r="C380" s="126">
        <v>22.99</v>
      </c>
      <c r="D380" s="126">
        <v>21.75</v>
      </c>
      <c r="E380" s="172">
        <v>499.0</v>
      </c>
      <c r="F380" s="192">
        <v>46006.0</v>
      </c>
      <c r="G380" s="156">
        <v>-499.0</v>
      </c>
    </row>
    <row r="381" ht="22.5" customHeight="1">
      <c r="A381" s="159" t="s">
        <v>18</v>
      </c>
      <c r="B381" s="160"/>
      <c r="C381" s="160">
        <f>'MF holdings and transactions'!I319</f>
        <v>1229.017</v>
      </c>
      <c r="D381" s="160">
        <f>'MF holdings and transactions'!G319</f>
        <v>20.88</v>
      </c>
      <c r="E381" s="160"/>
      <c r="F381" s="184">
        <f>TODAY()</f>
        <v>46048</v>
      </c>
      <c r="G381" s="180">
        <f>'MF holdings and transactions'!K319</f>
        <v>25661.87496</v>
      </c>
    </row>
    <row r="382">
      <c r="F382" s="45" t="s">
        <v>28</v>
      </c>
      <c r="G382" s="46">
        <f>XIRR(G360:G381,F360:F381)</f>
        <v>-0.09576627777</v>
      </c>
    </row>
    <row r="384">
      <c r="A384" s="66"/>
      <c r="B384" s="62"/>
      <c r="C384" s="31"/>
      <c r="D384" s="31"/>
      <c r="E384" s="63"/>
      <c r="F384" s="64"/>
    </row>
    <row r="385">
      <c r="A385" s="65"/>
      <c r="B385" s="62"/>
      <c r="C385" s="31"/>
      <c r="D385" s="31"/>
      <c r="E385" s="63"/>
      <c r="F385" s="64"/>
    </row>
  </sheetData>
  <conditionalFormatting sqref="B3 B10 B17 B24 B31 B40 B47 B54 B98:B99 B135:B136 B174:B175 B188:B189 B229:B230 B269:B270 B306:B307 B313:B314 B320:B321 B327:B328 B358:B359 B383:B385">
    <cfRule type="cellIs" dxfId="1" priority="1" operator="equal">
      <formula>"REDEEM"</formula>
    </cfRule>
  </conditionalFormatting>
  <conditionalFormatting sqref="B3 B10 B17 B24 B31 B40 B47 B54 B98:B99 B135:B136 B174:B175 B188:B189 B229:B230 B269:B270 B306:B307 B313:B314 B320:B321 B327:B328 B358:B359 B383:B385">
    <cfRule type="cellIs" dxfId="0" priority="2" operator="equal">
      <formula>"PURCHASE"</formula>
    </cfRule>
  </conditionalFormatting>
  <conditionalFormatting sqref="B3 B10 B17 B24 B31 B40 B47 B54 B98:B99 B135:B136 B174:B175 B188:B189 B229:B230 B269:B270 B306:B307 B313:B314 B320:B321 B327:B328 B358:B359 B383:B385">
    <cfRule type="containsText" dxfId="9" priority="3" operator="containsText" text="SWITCH">
      <formula>NOT(ISERROR(SEARCH(("SWITCH"),(B3))))</formula>
    </cfRule>
  </conditionalFormatting>
  <dataValidations>
    <dataValidation type="custom" allowBlank="1" showDropDown="1" sqref="D32:D36 F55:F95 F100:F132 F137:F171 F190:F226 F231:F266 F271:F303 F329:F355 F360:F381">
      <formula1>OR(NOT(ISERROR(DATEVALUE(D32))), AND(ISNUMBER(D32), LEFT(CELL("format", D32))="D"))</formula1>
    </dataValidation>
    <dataValidation type="custom" allowBlank="1" showDropDown="1" sqref="E100:E132 G100:G132 E137:E171 G137:G171 E190:E226 G190:G226 E231:E266 E271:E303 G271:G303">
      <formula1>AND(ISNUMBER(E100),(NOT(OR(NOT(ISERROR(DATEVALUE(E100))), AND(ISNUMBER(E100), LEFT(CELL("format", E100))="D")))))</formula1>
    </dataValidation>
  </dataValidations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3.5"/>
    <col customWidth="1" min="6" max="6" width="12.88"/>
    <col customWidth="1" min="9" max="9" width="12.75"/>
    <col customWidth="1" min="10" max="10" width="18.5"/>
  </cols>
  <sheetData>
    <row r="1">
      <c r="A1" s="50" t="s">
        <v>29</v>
      </c>
      <c r="B1" s="202"/>
      <c r="C1" s="47"/>
      <c r="D1" s="47"/>
      <c r="E1" s="47"/>
      <c r="F1" s="47"/>
      <c r="G1" s="47"/>
      <c r="H1" s="47"/>
      <c r="I1" s="47"/>
      <c r="J1" s="47"/>
      <c r="K1" s="47"/>
    </row>
    <row r="2">
      <c r="A2" s="113" t="s">
        <v>30</v>
      </c>
      <c r="B2" s="203" t="s">
        <v>31</v>
      </c>
      <c r="C2" s="47"/>
      <c r="D2" s="47"/>
      <c r="E2" s="47"/>
      <c r="F2" s="47"/>
      <c r="G2" s="47"/>
      <c r="H2" s="47"/>
      <c r="I2" s="47"/>
      <c r="J2" s="47"/>
      <c r="K2" s="47"/>
    </row>
    <row r="3">
      <c r="A3" s="113" t="s">
        <v>122</v>
      </c>
      <c r="B3" s="203">
        <v>2.982190678E9</v>
      </c>
      <c r="C3" s="47"/>
      <c r="D3" s="47"/>
      <c r="E3" s="47"/>
      <c r="F3" s="47"/>
      <c r="G3" s="47"/>
      <c r="H3" s="47"/>
      <c r="I3" s="47"/>
      <c r="J3" s="47"/>
      <c r="K3" s="47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</row>
    <row r="5">
      <c r="A5" s="113" t="str">
        <f>CONCATENATE("P&amp;L Statement for stocks from 11-06-2020 TO ", TEXT(TODAY(), "DD-MM-YYYY"))
</f>
        <v>P&amp;L Statement for stocks from 11-06-2020 TO 26-01-2026</v>
      </c>
      <c r="B5" s="113"/>
      <c r="C5" s="113"/>
      <c r="D5" s="47"/>
      <c r="E5" s="47"/>
      <c r="F5" s="47"/>
      <c r="G5" s="47"/>
      <c r="H5" s="47"/>
      <c r="I5" s="47"/>
      <c r="J5" s="47"/>
      <c r="K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</row>
    <row r="8">
      <c r="A8" s="50" t="s">
        <v>123</v>
      </c>
      <c r="B8" s="47"/>
      <c r="C8" s="47"/>
      <c r="D8" s="47"/>
      <c r="E8" s="47"/>
      <c r="F8" s="47"/>
      <c r="G8" s="47"/>
      <c r="H8" s="47"/>
      <c r="I8" s="47"/>
      <c r="J8" s="47"/>
      <c r="K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</row>
    <row r="10" ht="22.5" customHeight="1">
      <c r="A10" s="117" t="s">
        <v>124</v>
      </c>
      <c r="B10" s="117" t="s">
        <v>125</v>
      </c>
      <c r="C10" s="117" t="s">
        <v>126</v>
      </c>
      <c r="D10" s="117" t="s">
        <v>127</v>
      </c>
      <c r="E10" s="117" t="s">
        <v>128</v>
      </c>
      <c r="F10" s="117" t="s">
        <v>129</v>
      </c>
      <c r="G10" s="117" t="s">
        <v>130</v>
      </c>
      <c r="H10" s="117" t="s">
        <v>131</v>
      </c>
      <c r="I10" s="117" t="s">
        <v>132</v>
      </c>
      <c r="J10" s="119" t="s">
        <v>133</v>
      </c>
    </row>
    <row r="11" ht="22.5" customHeight="1">
      <c r="A11" s="126" t="s">
        <v>134</v>
      </c>
      <c r="B11" s="126" t="s">
        <v>135</v>
      </c>
      <c r="C11" s="204">
        <v>2.0</v>
      </c>
      <c r="D11" s="205">
        <v>44130.0</v>
      </c>
      <c r="E11" s="204">
        <v>56.3</v>
      </c>
      <c r="F11" s="204">
        <v>112.6</v>
      </c>
      <c r="G11" s="205">
        <v>44186.0</v>
      </c>
      <c r="H11" s="204">
        <v>65.2</v>
      </c>
      <c r="I11" s="204">
        <v>130.4</v>
      </c>
      <c r="J11" s="204">
        <v>17.8</v>
      </c>
      <c r="K11" s="47"/>
    </row>
    <row r="12" ht="22.5" customHeight="1">
      <c r="A12" s="126" t="s">
        <v>136</v>
      </c>
      <c r="B12" s="126" t="s">
        <v>137</v>
      </c>
      <c r="C12" s="204">
        <v>6.0</v>
      </c>
      <c r="D12" s="205">
        <v>44130.0</v>
      </c>
      <c r="E12" s="204">
        <v>9.05</v>
      </c>
      <c r="F12" s="204">
        <v>54.3</v>
      </c>
      <c r="G12" s="205">
        <v>44186.0</v>
      </c>
      <c r="H12" s="204">
        <v>9.9</v>
      </c>
      <c r="I12" s="204">
        <v>59.4</v>
      </c>
      <c r="J12" s="204">
        <v>5.1</v>
      </c>
      <c r="K12" s="47"/>
    </row>
    <row r="13" ht="22.5" customHeight="1">
      <c r="A13" s="126" t="s">
        <v>138</v>
      </c>
      <c r="B13" s="126" t="s">
        <v>139</v>
      </c>
      <c r="C13" s="204">
        <v>2.0</v>
      </c>
      <c r="D13" s="205">
        <v>44130.0</v>
      </c>
      <c r="E13" s="204">
        <v>171.5</v>
      </c>
      <c r="F13" s="204">
        <v>343.0</v>
      </c>
      <c r="G13" s="205">
        <v>44186.0</v>
      </c>
      <c r="H13" s="204">
        <v>212.6</v>
      </c>
      <c r="I13" s="204">
        <v>425.2</v>
      </c>
      <c r="J13" s="204">
        <v>82.2</v>
      </c>
      <c r="K13" s="47"/>
    </row>
    <row r="14" ht="22.5" customHeight="1">
      <c r="A14" s="126" t="s">
        <v>140</v>
      </c>
      <c r="B14" s="126" t="s">
        <v>141</v>
      </c>
      <c r="C14" s="204">
        <v>1.0</v>
      </c>
      <c r="D14" s="205">
        <v>44130.0</v>
      </c>
      <c r="E14" s="204">
        <v>138.4</v>
      </c>
      <c r="F14" s="204">
        <v>138.4</v>
      </c>
      <c r="G14" s="205">
        <v>44186.0</v>
      </c>
      <c r="H14" s="204">
        <v>176.75</v>
      </c>
      <c r="I14" s="204">
        <v>176.75</v>
      </c>
      <c r="J14" s="204">
        <v>38.35</v>
      </c>
      <c r="K14" s="47"/>
    </row>
    <row r="15" ht="22.5" customHeight="1">
      <c r="A15" s="126" t="s">
        <v>142</v>
      </c>
      <c r="B15" s="126" t="s">
        <v>143</v>
      </c>
      <c r="C15" s="204">
        <v>2.0</v>
      </c>
      <c r="D15" s="205">
        <v>44130.0</v>
      </c>
      <c r="E15" s="204">
        <v>52.65</v>
      </c>
      <c r="F15" s="204">
        <v>105.3</v>
      </c>
      <c r="G15" s="205">
        <v>44186.0</v>
      </c>
      <c r="H15" s="204">
        <v>97.05</v>
      </c>
      <c r="I15" s="204">
        <v>194.1</v>
      </c>
      <c r="J15" s="204">
        <v>88.8</v>
      </c>
      <c r="K15" s="47"/>
    </row>
    <row r="16" ht="22.5" customHeight="1">
      <c r="A16" s="126" t="s">
        <v>144</v>
      </c>
      <c r="B16" s="126" t="s">
        <v>145</v>
      </c>
      <c r="C16" s="204">
        <v>6.0</v>
      </c>
      <c r="D16" s="205">
        <v>44130.0</v>
      </c>
      <c r="E16" s="204">
        <v>13.95</v>
      </c>
      <c r="F16" s="204">
        <v>83.7</v>
      </c>
      <c r="G16" s="205">
        <v>44186.0</v>
      </c>
      <c r="H16" s="204">
        <v>18.7</v>
      </c>
      <c r="I16" s="204">
        <v>112.2</v>
      </c>
      <c r="J16" s="204">
        <v>28.5</v>
      </c>
      <c r="K16" s="47"/>
    </row>
    <row r="17" ht="22.5" customHeight="1">
      <c r="A17" s="126" t="s">
        <v>146</v>
      </c>
      <c r="B17" s="126" t="s">
        <v>147</v>
      </c>
      <c r="C17" s="204">
        <v>1.0</v>
      </c>
      <c r="D17" s="205">
        <v>44132.0</v>
      </c>
      <c r="E17" s="204">
        <v>6.15</v>
      </c>
      <c r="F17" s="204">
        <v>6.15</v>
      </c>
      <c r="G17" s="205">
        <v>44147.0</v>
      </c>
      <c r="H17" s="204">
        <v>5.5</v>
      </c>
      <c r="I17" s="204">
        <v>5.5</v>
      </c>
      <c r="J17" s="204">
        <v>-0.65</v>
      </c>
      <c r="K17" s="47"/>
    </row>
    <row r="18" ht="22.5" customHeight="1">
      <c r="A18" s="126" t="s">
        <v>148</v>
      </c>
      <c r="B18" s="126" t="s">
        <v>149</v>
      </c>
      <c r="C18" s="204">
        <v>1.0</v>
      </c>
      <c r="D18" s="205">
        <v>44134.0</v>
      </c>
      <c r="E18" s="204">
        <v>0.65</v>
      </c>
      <c r="F18" s="204">
        <v>0.65</v>
      </c>
      <c r="G18" s="205">
        <v>44147.0</v>
      </c>
      <c r="H18" s="204">
        <v>0.6</v>
      </c>
      <c r="I18" s="204">
        <v>0.6</v>
      </c>
      <c r="J18" s="204">
        <v>-0.05</v>
      </c>
      <c r="K18" s="47"/>
    </row>
    <row r="19" ht="22.5" customHeight="1">
      <c r="A19" s="126" t="s">
        <v>150</v>
      </c>
      <c r="B19" s="126" t="s">
        <v>151</v>
      </c>
      <c r="C19" s="204">
        <v>1.0</v>
      </c>
      <c r="D19" s="206">
        <v>44140.0</v>
      </c>
      <c r="E19" s="204">
        <v>0.25</v>
      </c>
      <c r="F19" s="204">
        <v>0.25</v>
      </c>
      <c r="G19" s="205">
        <v>44149.0</v>
      </c>
      <c r="H19" s="204">
        <v>0.2</v>
      </c>
      <c r="I19" s="204">
        <v>0.2</v>
      </c>
      <c r="J19" s="204">
        <v>-0.05</v>
      </c>
      <c r="K19" s="47"/>
    </row>
    <row r="20" ht="22.5" customHeight="1">
      <c r="A20" s="126" t="s">
        <v>152</v>
      </c>
      <c r="B20" s="126" t="s">
        <v>153</v>
      </c>
      <c r="C20" s="204">
        <v>3.0</v>
      </c>
      <c r="D20" s="206">
        <v>44037.0</v>
      </c>
      <c r="E20" s="204">
        <v>141.12</v>
      </c>
      <c r="F20" s="204">
        <v>423.36</v>
      </c>
      <c r="G20" s="205">
        <v>45593.0</v>
      </c>
      <c r="H20" s="204">
        <v>119.7</v>
      </c>
      <c r="I20" s="204">
        <v>359.1</v>
      </c>
      <c r="J20" s="204">
        <v>-64.26</v>
      </c>
      <c r="K20" s="47"/>
    </row>
    <row r="21" ht="22.5" customHeight="1">
      <c r="A21" s="126" t="s">
        <v>152</v>
      </c>
      <c r="B21" s="127" t="s">
        <v>153</v>
      </c>
      <c r="C21" s="127">
        <v>1.0</v>
      </c>
      <c r="D21" s="207">
        <v>45523.0</v>
      </c>
      <c r="E21" s="127">
        <v>135.4</v>
      </c>
      <c r="F21" s="127">
        <v>135.4</v>
      </c>
      <c r="G21" s="205">
        <v>45593.0</v>
      </c>
      <c r="H21" s="204">
        <v>119.7</v>
      </c>
      <c r="I21" s="204">
        <v>119.7</v>
      </c>
      <c r="J21" s="204">
        <v>-15.7</v>
      </c>
      <c r="K21" s="47"/>
    </row>
    <row r="22" ht="22.5" customHeight="1">
      <c r="A22" s="208" t="s">
        <v>18</v>
      </c>
      <c r="B22" s="209"/>
      <c r="C22" s="209"/>
      <c r="D22" s="210"/>
      <c r="E22" s="209"/>
      <c r="F22" s="211">
        <f>SUM(F11:F21)</f>
        <v>1403.11</v>
      </c>
      <c r="G22" s="212"/>
      <c r="H22" s="209"/>
      <c r="I22" s="211">
        <f t="shared" ref="I22:J22" si="1">SUM(I11:I21)</f>
        <v>1583.15</v>
      </c>
      <c r="J22" s="211">
        <f t="shared" si="1"/>
        <v>180.04</v>
      </c>
      <c r="K22" s="47"/>
    </row>
    <row r="23">
      <c r="A23" s="213"/>
      <c r="B23" s="213"/>
      <c r="C23" s="213"/>
      <c r="D23" s="214"/>
      <c r="E23" s="213"/>
      <c r="F23" s="213"/>
      <c r="G23" s="215"/>
      <c r="H23" s="213"/>
      <c r="I23" s="216" t="s">
        <v>154</v>
      </c>
      <c r="J23" s="217">
        <f>J22/F22</f>
        <v>0.1283149575</v>
      </c>
      <c r="K23" s="47"/>
    </row>
    <row r="24">
      <c r="A24" s="218"/>
      <c r="B24" s="213"/>
      <c r="C24" s="213"/>
      <c r="D24" s="214"/>
      <c r="E24" s="213"/>
      <c r="F24" s="213"/>
      <c r="G24" s="215"/>
      <c r="H24" s="213"/>
      <c r="K24" s="47"/>
    </row>
    <row r="25">
      <c r="A25" s="50" t="s">
        <v>16</v>
      </c>
      <c r="B25" s="213"/>
      <c r="C25" s="213"/>
      <c r="D25" s="214"/>
      <c r="E25" s="213"/>
      <c r="F25" s="213"/>
      <c r="G25" s="215"/>
      <c r="H25" s="213"/>
      <c r="K25" s="47"/>
    </row>
    <row r="26">
      <c r="A26" s="31"/>
      <c r="B26" s="31"/>
      <c r="C26" s="37"/>
      <c r="D26" s="28"/>
      <c r="E26" s="37"/>
      <c r="F26" s="37"/>
      <c r="G26" s="219"/>
      <c r="H26" s="37"/>
      <c r="I26" s="37"/>
      <c r="J26" s="37"/>
      <c r="K26" s="47"/>
    </row>
    <row r="27" ht="22.5" customHeight="1">
      <c r="A27" s="117" t="s">
        <v>124</v>
      </c>
      <c r="B27" s="117" t="s">
        <v>125</v>
      </c>
      <c r="C27" s="117" t="s">
        <v>126</v>
      </c>
      <c r="D27" s="117" t="s">
        <v>127</v>
      </c>
      <c r="E27" s="117" t="s">
        <v>128</v>
      </c>
      <c r="F27" s="117" t="s">
        <v>129</v>
      </c>
      <c r="G27" s="117" t="s">
        <v>130</v>
      </c>
      <c r="H27" s="117" t="s">
        <v>131</v>
      </c>
      <c r="I27" s="117" t="s">
        <v>132</v>
      </c>
      <c r="J27" s="119" t="s">
        <v>133</v>
      </c>
      <c r="K27" s="47"/>
    </row>
    <row r="28" ht="22.5" customHeight="1">
      <c r="A28" s="126" t="s">
        <v>155</v>
      </c>
      <c r="B28" s="126" t="s">
        <v>156</v>
      </c>
      <c r="C28" s="204">
        <v>8.0</v>
      </c>
      <c r="D28" s="173">
        <v>44741.0</v>
      </c>
      <c r="E28" s="204">
        <v>90.2</v>
      </c>
      <c r="F28" s="204">
        <v>721.6</v>
      </c>
      <c r="G28" s="206">
        <v>45357.0</v>
      </c>
      <c r="H28" s="204">
        <v>145.25</v>
      </c>
      <c r="I28" s="204">
        <v>1162.0</v>
      </c>
      <c r="J28" s="204">
        <v>440.4</v>
      </c>
      <c r="K28" s="47"/>
    </row>
    <row r="29" ht="22.5" customHeight="1">
      <c r="A29" s="126" t="s">
        <v>155</v>
      </c>
      <c r="B29" s="126" t="s">
        <v>156</v>
      </c>
      <c r="C29" s="204">
        <v>5.0</v>
      </c>
      <c r="D29" s="173">
        <v>44750.0</v>
      </c>
      <c r="E29" s="204">
        <v>93.98</v>
      </c>
      <c r="F29" s="204">
        <v>469.9</v>
      </c>
      <c r="G29" s="206">
        <v>45357.0</v>
      </c>
      <c r="H29" s="204">
        <v>145.25</v>
      </c>
      <c r="I29" s="204">
        <v>726.25</v>
      </c>
      <c r="J29" s="204">
        <v>256.35</v>
      </c>
      <c r="K29" s="47"/>
    </row>
    <row r="30" ht="22.5" customHeight="1">
      <c r="A30" s="126" t="s">
        <v>155</v>
      </c>
      <c r="B30" s="126" t="s">
        <v>156</v>
      </c>
      <c r="C30" s="204">
        <v>6.0</v>
      </c>
      <c r="D30" s="173">
        <v>44760.0</v>
      </c>
      <c r="E30" s="204">
        <v>94.38</v>
      </c>
      <c r="F30" s="204">
        <v>566.28</v>
      </c>
      <c r="G30" s="206">
        <v>45357.0</v>
      </c>
      <c r="H30" s="204">
        <v>145.25</v>
      </c>
      <c r="I30" s="204">
        <v>871.5</v>
      </c>
      <c r="J30" s="204">
        <v>305.22</v>
      </c>
      <c r="K30" s="47"/>
    </row>
    <row r="31" ht="22.5" customHeight="1">
      <c r="A31" s="126" t="s">
        <v>155</v>
      </c>
      <c r="B31" s="126" t="s">
        <v>156</v>
      </c>
      <c r="C31" s="204">
        <v>5.0</v>
      </c>
      <c r="D31" s="173">
        <v>44792.0</v>
      </c>
      <c r="E31" s="204">
        <v>104.62</v>
      </c>
      <c r="F31" s="204">
        <v>523.1</v>
      </c>
      <c r="G31" s="206">
        <v>45357.0</v>
      </c>
      <c r="H31" s="204">
        <v>145.25</v>
      </c>
      <c r="I31" s="204">
        <v>726.25</v>
      </c>
      <c r="J31" s="204">
        <v>203.15</v>
      </c>
      <c r="K31" s="47"/>
    </row>
    <row r="32" ht="22.5" customHeight="1">
      <c r="A32" s="126" t="s">
        <v>155</v>
      </c>
      <c r="B32" s="126" t="s">
        <v>156</v>
      </c>
      <c r="C32" s="204">
        <v>5.0</v>
      </c>
      <c r="D32" s="173">
        <v>44816.0</v>
      </c>
      <c r="E32" s="204">
        <v>98.33</v>
      </c>
      <c r="F32" s="204">
        <v>491.65</v>
      </c>
      <c r="G32" s="206">
        <v>45357.0</v>
      </c>
      <c r="H32" s="204">
        <v>145.25</v>
      </c>
      <c r="I32" s="204">
        <v>726.25</v>
      </c>
      <c r="J32" s="204">
        <v>234.6</v>
      </c>
      <c r="K32" s="47"/>
    </row>
    <row r="33" ht="22.5" customHeight="1">
      <c r="A33" s="126" t="s">
        <v>155</v>
      </c>
      <c r="B33" s="126" t="s">
        <v>156</v>
      </c>
      <c r="C33" s="204">
        <v>5.0</v>
      </c>
      <c r="D33" s="173">
        <v>44844.0</v>
      </c>
      <c r="E33" s="204">
        <v>91.47</v>
      </c>
      <c r="F33" s="204">
        <v>457.35</v>
      </c>
      <c r="G33" s="206">
        <v>45357.0</v>
      </c>
      <c r="H33" s="204">
        <v>145.25</v>
      </c>
      <c r="I33" s="204">
        <v>726.25</v>
      </c>
      <c r="J33" s="204">
        <v>268.9</v>
      </c>
      <c r="K33" s="47"/>
      <c r="U33" s="220"/>
    </row>
    <row r="34" ht="22.5" customHeight="1">
      <c r="A34" s="126" t="s">
        <v>155</v>
      </c>
      <c r="B34" s="126" t="s">
        <v>156</v>
      </c>
      <c r="C34" s="204">
        <v>5.0</v>
      </c>
      <c r="D34" s="173">
        <v>44882.0</v>
      </c>
      <c r="E34" s="204">
        <v>93.01</v>
      </c>
      <c r="F34" s="204">
        <v>465.05</v>
      </c>
      <c r="G34" s="206">
        <v>45357.0</v>
      </c>
      <c r="H34" s="204">
        <v>145.25</v>
      </c>
      <c r="I34" s="204">
        <v>726.25</v>
      </c>
      <c r="J34" s="204">
        <v>261.2</v>
      </c>
      <c r="K34" s="47"/>
      <c r="U34" s="220"/>
    </row>
    <row r="35" ht="22.5" customHeight="1">
      <c r="A35" s="126" t="s">
        <v>155</v>
      </c>
      <c r="B35" s="126" t="s">
        <v>156</v>
      </c>
      <c r="C35" s="204">
        <v>6.0</v>
      </c>
      <c r="D35" s="173">
        <v>44914.0</v>
      </c>
      <c r="E35" s="204">
        <v>92.82</v>
      </c>
      <c r="F35" s="204">
        <v>556.92</v>
      </c>
      <c r="G35" s="206">
        <v>45357.0</v>
      </c>
      <c r="H35" s="204">
        <v>145.25</v>
      </c>
      <c r="I35" s="204">
        <v>871.5</v>
      </c>
      <c r="J35" s="204">
        <v>314.58</v>
      </c>
      <c r="K35" s="47"/>
      <c r="U35" s="220"/>
    </row>
    <row r="36" ht="22.5" customHeight="1">
      <c r="A36" s="126" t="s">
        <v>155</v>
      </c>
      <c r="B36" s="126" t="s">
        <v>156</v>
      </c>
      <c r="C36" s="204">
        <v>10.0</v>
      </c>
      <c r="D36" s="173">
        <v>44960.0</v>
      </c>
      <c r="E36" s="204">
        <v>99.96</v>
      </c>
      <c r="F36" s="204">
        <v>999.6</v>
      </c>
      <c r="G36" s="206">
        <v>45357.0</v>
      </c>
      <c r="H36" s="204">
        <v>145.25</v>
      </c>
      <c r="I36" s="204">
        <v>1452.5</v>
      </c>
      <c r="J36" s="204">
        <v>452.9</v>
      </c>
      <c r="K36" s="8">
        <f>(-SUM(F28:F44)+SUM(I28:I44))</f>
        <v>11779.37</v>
      </c>
      <c r="L36" s="221" t="s">
        <v>157</v>
      </c>
      <c r="U36" s="220"/>
    </row>
    <row r="37" ht="22.5" customHeight="1">
      <c r="A37" s="126" t="s">
        <v>155</v>
      </c>
      <c r="B37" s="126" t="s">
        <v>156</v>
      </c>
      <c r="C37" s="204">
        <v>9.0</v>
      </c>
      <c r="D37" s="173">
        <v>44965.0</v>
      </c>
      <c r="E37" s="204">
        <v>102.01</v>
      </c>
      <c r="F37" s="204">
        <v>918.09</v>
      </c>
      <c r="G37" s="206">
        <v>45357.0</v>
      </c>
      <c r="H37" s="204">
        <v>145.25</v>
      </c>
      <c r="I37" s="204">
        <v>1307.25</v>
      </c>
      <c r="J37" s="204">
        <v>389.16</v>
      </c>
      <c r="K37" s="222">
        <f>(-SUM(F28:F37)+SUM(I28:I37))/SUM(F28:F37)</f>
        <v>0.506757392</v>
      </c>
      <c r="L37" s="221" t="s">
        <v>158</v>
      </c>
      <c r="U37" s="220"/>
    </row>
    <row r="38" ht="22.5" customHeight="1">
      <c r="A38" s="223" t="s">
        <v>155</v>
      </c>
      <c r="B38" s="126" t="s">
        <v>159</v>
      </c>
      <c r="C38" s="126">
        <v>60.0</v>
      </c>
      <c r="D38" s="173">
        <v>45498.0</v>
      </c>
      <c r="E38" s="126">
        <v>159.17</v>
      </c>
      <c r="F38" s="126">
        <v>9550.2</v>
      </c>
      <c r="G38" s="224">
        <f t="shared" ref="G38:G48" si="2">TODAY()</f>
        <v>46048</v>
      </c>
      <c r="H38" s="225">
        <f>IFERROR(__xludf.DUMMYFUNCTION("GOOGLEFINANCE(""MON100"")"),238.0)</f>
        <v>238</v>
      </c>
      <c r="I38" s="225">
        <f t="shared" ref="I38:I48" si="3">C38*H38</f>
        <v>14280</v>
      </c>
      <c r="J38" s="225">
        <f t="shared" ref="J38:J49" si="4">I38-F38</f>
        <v>4729.8</v>
      </c>
      <c r="K38" s="47"/>
    </row>
    <row r="39" ht="22.5" customHeight="1">
      <c r="A39" s="223" t="s">
        <v>155</v>
      </c>
      <c r="B39" s="127" t="s">
        <v>156</v>
      </c>
      <c r="C39" s="127">
        <v>33.0</v>
      </c>
      <c r="D39" s="170">
        <v>45523.0</v>
      </c>
      <c r="E39" s="127">
        <v>159.69</v>
      </c>
      <c r="F39" s="127">
        <v>5269.77</v>
      </c>
      <c r="G39" s="224">
        <f t="shared" si="2"/>
        <v>46048</v>
      </c>
      <c r="H39" s="225">
        <f>IFERROR(__xludf.DUMMYFUNCTION("GOOGLEFINANCE(""MON100"")"),238.0)</f>
        <v>238</v>
      </c>
      <c r="I39" s="225">
        <f t="shared" si="3"/>
        <v>7854</v>
      </c>
      <c r="J39" s="225">
        <f t="shared" si="4"/>
        <v>2584.23</v>
      </c>
    </row>
    <row r="40" ht="22.5" customHeight="1">
      <c r="A40" s="223" t="s">
        <v>155</v>
      </c>
      <c r="B40" s="127" t="s">
        <v>156</v>
      </c>
      <c r="C40" s="127">
        <v>7.0</v>
      </c>
      <c r="D40" s="170">
        <v>45741.0</v>
      </c>
      <c r="E40" s="156">
        <v>186.06</v>
      </c>
      <c r="F40" s="127">
        <v>1302.42</v>
      </c>
      <c r="G40" s="224">
        <f t="shared" si="2"/>
        <v>46048</v>
      </c>
      <c r="H40" s="225">
        <f>IFERROR(__xludf.DUMMYFUNCTION("GOOGLEFINANCE(""MON100"")"),238.0)</f>
        <v>238</v>
      </c>
      <c r="I40" s="225">
        <f t="shared" si="3"/>
        <v>1666</v>
      </c>
      <c r="J40" s="225">
        <f t="shared" si="4"/>
        <v>363.58</v>
      </c>
    </row>
    <row r="41" ht="22.5" customHeight="1">
      <c r="A41" s="223" t="s">
        <v>155</v>
      </c>
      <c r="B41" s="127" t="s">
        <v>156</v>
      </c>
      <c r="C41" s="127">
        <v>3.0</v>
      </c>
      <c r="D41" s="170">
        <v>45764.0</v>
      </c>
      <c r="E41" s="156">
        <v>164.48</v>
      </c>
      <c r="F41" s="127">
        <v>493.44</v>
      </c>
      <c r="G41" s="224">
        <f t="shared" si="2"/>
        <v>46048</v>
      </c>
      <c r="H41" s="225">
        <f>IFERROR(__xludf.DUMMYFUNCTION("GOOGLEFINANCE(""MON100"")"),238.0)</f>
        <v>238</v>
      </c>
      <c r="I41" s="225">
        <f t="shared" si="3"/>
        <v>714</v>
      </c>
      <c r="J41" s="225">
        <f t="shared" si="4"/>
        <v>220.56</v>
      </c>
    </row>
    <row r="42" ht="22.5" customHeight="1">
      <c r="A42" s="223" t="s">
        <v>155</v>
      </c>
      <c r="B42" s="127" t="s">
        <v>156</v>
      </c>
      <c r="C42" s="127">
        <v>8.0</v>
      </c>
      <c r="D42" s="170">
        <v>45817.0</v>
      </c>
      <c r="E42" s="156">
        <v>181.78</v>
      </c>
      <c r="F42" s="127">
        <v>1454.24</v>
      </c>
      <c r="G42" s="224">
        <f t="shared" si="2"/>
        <v>46048</v>
      </c>
      <c r="H42" s="225">
        <f>IFERROR(__xludf.DUMMYFUNCTION("GOOGLEFINANCE(""MON100"")"),238.0)</f>
        <v>238</v>
      </c>
      <c r="I42" s="225">
        <f t="shared" si="3"/>
        <v>1904</v>
      </c>
      <c r="J42" s="225">
        <f t="shared" si="4"/>
        <v>449.76</v>
      </c>
    </row>
    <row r="43" ht="22.5" customHeight="1">
      <c r="A43" s="223" t="s">
        <v>155</v>
      </c>
      <c r="B43" s="127" t="s">
        <v>156</v>
      </c>
      <c r="C43" s="127">
        <v>3.0</v>
      </c>
      <c r="D43" s="170">
        <v>45825.0</v>
      </c>
      <c r="E43" s="156">
        <v>181.79</v>
      </c>
      <c r="F43" s="127">
        <v>545.37</v>
      </c>
      <c r="G43" s="224">
        <f t="shared" si="2"/>
        <v>46048</v>
      </c>
      <c r="H43" s="225">
        <f>IFERROR(__xludf.DUMMYFUNCTION("GOOGLEFINANCE(""MON100"")"),238.0)</f>
        <v>238</v>
      </c>
      <c r="I43" s="225">
        <f t="shared" si="3"/>
        <v>714</v>
      </c>
      <c r="J43" s="225">
        <f t="shared" si="4"/>
        <v>168.63</v>
      </c>
    </row>
    <row r="44" ht="22.5" customHeight="1">
      <c r="A44" s="223" t="s">
        <v>155</v>
      </c>
      <c r="B44" s="127" t="s">
        <v>156</v>
      </c>
      <c r="C44" s="127">
        <v>3.0</v>
      </c>
      <c r="D44" s="170">
        <v>45854.0</v>
      </c>
      <c r="E44" s="156">
        <v>192.54999999999998</v>
      </c>
      <c r="F44" s="127">
        <v>577.65</v>
      </c>
      <c r="G44" s="224">
        <f t="shared" si="2"/>
        <v>46048</v>
      </c>
      <c r="H44" s="225">
        <f>IFERROR(__xludf.DUMMYFUNCTION("GOOGLEFINANCE(""MON100"")"),238.0)</f>
        <v>238</v>
      </c>
      <c r="I44" s="225">
        <f t="shared" si="3"/>
        <v>714</v>
      </c>
      <c r="J44" s="225">
        <f t="shared" si="4"/>
        <v>136.35</v>
      </c>
    </row>
    <row r="45" ht="22.5" customHeight="1">
      <c r="A45" s="223" t="s">
        <v>155</v>
      </c>
      <c r="B45" s="127" t="s">
        <v>159</v>
      </c>
      <c r="C45" s="127">
        <v>2.0</v>
      </c>
      <c r="D45" s="226">
        <v>45887.0</v>
      </c>
      <c r="E45" s="156">
        <v>205.47</v>
      </c>
      <c r="F45" s="204">
        <v>410.94</v>
      </c>
      <c r="G45" s="224">
        <f t="shared" si="2"/>
        <v>46048</v>
      </c>
      <c r="H45" s="225">
        <f>IFERROR(__xludf.DUMMYFUNCTION("GOOGLEFINANCE(""MON100"")"),238.0)</f>
        <v>238</v>
      </c>
      <c r="I45" s="225">
        <f t="shared" si="3"/>
        <v>476</v>
      </c>
      <c r="J45" s="225">
        <f t="shared" si="4"/>
        <v>65.06</v>
      </c>
    </row>
    <row r="46" ht="22.5" customHeight="1">
      <c r="A46" s="223" t="s">
        <v>155</v>
      </c>
      <c r="B46" s="127" t="s">
        <v>160</v>
      </c>
      <c r="C46" s="127">
        <v>2.0</v>
      </c>
      <c r="D46" s="227">
        <v>45947.0</v>
      </c>
      <c r="E46" s="156">
        <v>234.62</v>
      </c>
      <c r="F46" s="204">
        <v>469.24</v>
      </c>
      <c r="G46" s="224">
        <f t="shared" si="2"/>
        <v>46048</v>
      </c>
      <c r="H46" s="225">
        <f>IFERROR(__xludf.DUMMYFUNCTION("GOOGLEFINANCE(""MON100"")"),238.0)</f>
        <v>238</v>
      </c>
      <c r="I46" s="225">
        <f t="shared" si="3"/>
        <v>476</v>
      </c>
      <c r="J46" s="225">
        <f t="shared" si="4"/>
        <v>6.76</v>
      </c>
    </row>
    <row r="47" ht="22.5" customHeight="1">
      <c r="A47" s="223" t="s">
        <v>155</v>
      </c>
      <c r="B47" s="127" t="s">
        <v>161</v>
      </c>
      <c r="C47" s="127">
        <v>2.0</v>
      </c>
      <c r="D47" s="227">
        <v>45978.0</v>
      </c>
      <c r="E47" s="156">
        <v>238.45</v>
      </c>
      <c r="F47" s="204">
        <v>476.9</v>
      </c>
      <c r="G47" s="224">
        <f t="shared" si="2"/>
        <v>46048</v>
      </c>
      <c r="H47" s="225">
        <f>IFERROR(__xludf.DUMMYFUNCTION("GOOGLEFINANCE(""MON100"")"),238.0)</f>
        <v>238</v>
      </c>
      <c r="I47" s="225">
        <f t="shared" si="3"/>
        <v>476</v>
      </c>
      <c r="J47" s="225">
        <f t="shared" si="4"/>
        <v>-0.9</v>
      </c>
    </row>
    <row r="48" ht="22.5" customHeight="1">
      <c r="A48" s="223" t="s">
        <v>155</v>
      </c>
      <c r="B48" s="127" t="s">
        <v>162</v>
      </c>
      <c r="C48" s="127">
        <v>2.0</v>
      </c>
      <c r="D48" s="227">
        <v>46015.0</v>
      </c>
      <c r="E48" s="156">
        <v>234.88</v>
      </c>
      <c r="F48" s="204">
        <v>469.76</v>
      </c>
      <c r="G48" s="224">
        <f t="shared" si="2"/>
        <v>46048</v>
      </c>
      <c r="H48" s="225">
        <f>IFERROR(__xludf.DUMMYFUNCTION("GOOGLEFINANCE(""MON100"")"),238.0)</f>
        <v>238</v>
      </c>
      <c r="I48" s="225">
        <f t="shared" si="3"/>
        <v>476</v>
      </c>
      <c r="J48" s="225">
        <f t="shared" si="4"/>
        <v>6.24</v>
      </c>
    </row>
    <row r="49" ht="22.5" customHeight="1">
      <c r="A49" s="228" t="s">
        <v>163</v>
      </c>
      <c r="B49" s="229"/>
      <c r="C49" s="229"/>
      <c r="D49" s="229"/>
      <c r="E49" s="229"/>
      <c r="F49" s="229">
        <f>SUM(F38:F48)</f>
        <v>21019.93</v>
      </c>
      <c r="G49" s="229"/>
      <c r="H49" s="229"/>
      <c r="I49" s="229">
        <f>SUM(I38:I48)</f>
        <v>29750</v>
      </c>
      <c r="J49" s="229">
        <f t="shared" si="4"/>
        <v>8730.07</v>
      </c>
      <c r="K49" s="47"/>
    </row>
    <row r="50">
      <c r="A50" s="47"/>
      <c r="B50" s="47"/>
      <c r="C50" s="47"/>
      <c r="D50" s="47"/>
      <c r="E50" s="47"/>
      <c r="F50" s="47"/>
      <c r="G50" s="47"/>
      <c r="H50" s="47"/>
      <c r="I50" s="216" t="s">
        <v>154</v>
      </c>
      <c r="J50" s="230">
        <f>J49/F49</f>
        <v>0.4153234573</v>
      </c>
      <c r="K50" s="47"/>
    </row>
    <row r="51">
      <c r="A51" s="231"/>
      <c r="B51" s="231"/>
      <c r="C51" s="231"/>
      <c r="E51" s="218"/>
      <c r="F51" s="218"/>
      <c r="G51" s="218"/>
      <c r="H51" s="218"/>
      <c r="I51" s="218"/>
      <c r="J51" s="218"/>
      <c r="K51" s="218"/>
    </row>
    <row r="52">
      <c r="A52" s="232" t="s">
        <v>164</v>
      </c>
      <c r="B52" s="233"/>
      <c r="C52" s="3"/>
      <c r="E52" s="232" t="s">
        <v>165</v>
      </c>
      <c r="F52" s="233"/>
      <c r="G52" s="3"/>
      <c r="H52" s="218"/>
      <c r="I52" s="218"/>
      <c r="J52" s="218"/>
      <c r="K52" s="218"/>
    </row>
    <row r="53">
      <c r="A53" s="234"/>
      <c r="B53" s="234"/>
      <c r="C53" s="231"/>
      <c r="E53" s="113"/>
      <c r="F53" s="113"/>
      <c r="G53" s="218"/>
      <c r="H53" s="218"/>
      <c r="I53" s="235"/>
      <c r="J53" s="235"/>
      <c r="K53" s="236"/>
    </row>
    <row r="54" ht="22.5" customHeight="1">
      <c r="A54" s="117" t="s">
        <v>166</v>
      </c>
      <c r="B54" s="117" t="s">
        <v>44</v>
      </c>
      <c r="C54" s="231"/>
      <c r="E54" s="117" t="s">
        <v>166</v>
      </c>
      <c r="F54" s="117" t="s">
        <v>44</v>
      </c>
      <c r="G54" s="218"/>
      <c r="H54" s="218"/>
      <c r="I54" s="112" t="s">
        <v>82</v>
      </c>
      <c r="J54" s="112" t="s">
        <v>83</v>
      </c>
      <c r="K54" s="113" t="s">
        <v>84</v>
      </c>
    </row>
    <row r="55" ht="22.5" customHeight="1">
      <c r="A55" s="173">
        <v>44741.0</v>
      </c>
      <c r="B55" s="237">
        <v>-721.6</v>
      </c>
      <c r="E55" s="165">
        <v>44376.0</v>
      </c>
      <c r="F55" s="157">
        <v>-3830.0</v>
      </c>
      <c r="G55" s="47"/>
      <c r="H55" s="47"/>
      <c r="I55" s="27">
        <f>SUM(F28:F48)</f>
        <v>27189.47</v>
      </c>
      <c r="J55" s="8">
        <f>SUM(I28:I37)</f>
        <v>9296</v>
      </c>
      <c r="K55" s="135">
        <f>I49</f>
        <v>29750</v>
      </c>
    </row>
    <row r="56" ht="22.5" customHeight="1">
      <c r="A56" s="173">
        <v>44750.0</v>
      </c>
      <c r="B56" s="237">
        <v>-469.9</v>
      </c>
      <c r="E56" s="165">
        <v>44393.0</v>
      </c>
      <c r="F56" s="157">
        <v>-499.0</v>
      </c>
      <c r="G56" s="47"/>
      <c r="H56" s="47"/>
      <c r="I56" s="47"/>
      <c r="J56" s="47"/>
      <c r="K56" s="47"/>
    </row>
    <row r="57" ht="22.5" customHeight="1">
      <c r="A57" s="173">
        <v>44760.0</v>
      </c>
      <c r="B57" s="237">
        <v>-566.28</v>
      </c>
      <c r="E57" s="165">
        <v>44424.0</v>
      </c>
      <c r="F57" s="157">
        <v>-499.0</v>
      </c>
      <c r="G57" s="47"/>
      <c r="H57" s="47"/>
      <c r="I57" s="47"/>
      <c r="J57" s="47"/>
      <c r="K57" s="47"/>
    </row>
    <row r="58" ht="22.5" customHeight="1">
      <c r="A58" s="173">
        <v>44792.0</v>
      </c>
      <c r="B58" s="237">
        <v>-523.1</v>
      </c>
      <c r="E58" s="165">
        <v>44454.0</v>
      </c>
      <c r="F58" s="157">
        <v>-499.0</v>
      </c>
      <c r="G58" s="31"/>
      <c r="H58" s="31"/>
      <c r="I58" s="31"/>
      <c r="J58" s="112" t="s">
        <v>167</v>
      </c>
      <c r="K58" s="222">
        <f>(J55+K55-I55)/I55</f>
        <v>0.4360706553</v>
      </c>
    </row>
    <row r="59" ht="22.5" customHeight="1">
      <c r="A59" s="173">
        <v>44816.0</v>
      </c>
      <c r="B59" s="237">
        <v>-491.65</v>
      </c>
      <c r="E59" s="165">
        <v>44487.0</v>
      </c>
      <c r="F59" s="157">
        <v>-499.0</v>
      </c>
    </row>
    <row r="60" ht="22.5" customHeight="1">
      <c r="A60" s="173">
        <v>44844.0</v>
      </c>
      <c r="B60" s="237">
        <v>-457.35</v>
      </c>
      <c r="E60" s="165">
        <v>44515.0</v>
      </c>
      <c r="F60" s="157">
        <v>-499.0</v>
      </c>
    </row>
    <row r="61" ht="22.5" customHeight="1">
      <c r="A61" s="173">
        <v>44882.0</v>
      </c>
      <c r="B61" s="237">
        <v>-465.05</v>
      </c>
      <c r="E61" s="165">
        <v>44545.0</v>
      </c>
      <c r="F61" s="157">
        <v>-499.0</v>
      </c>
    </row>
    <row r="62" ht="22.5" customHeight="1">
      <c r="A62" s="173">
        <v>44914.0</v>
      </c>
      <c r="B62" s="237">
        <v>-556.92</v>
      </c>
      <c r="E62" s="165">
        <v>44578.0</v>
      </c>
      <c r="F62" s="157">
        <v>-499.0</v>
      </c>
    </row>
    <row r="63" ht="22.5" customHeight="1">
      <c r="A63" s="173">
        <v>44960.0</v>
      </c>
      <c r="B63" s="237">
        <v>-999.6</v>
      </c>
      <c r="E63" s="165">
        <v>44607.0</v>
      </c>
      <c r="F63" s="157">
        <v>-499.0</v>
      </c>
      <c r="I63" s="31"/>
      <c r="J63" s="31"/>
      <c r="K63" s="31"/>
      <c r="L63" s="31"/>
      <c r="M63" s="37"/>
      <c r="N63" s="37"/>
      <c r="O63" s="31"/>
      <c r="P63" s="31"/>
      <c r="Q63" s="238"/>
      <c r="R63" s="31"/>
    </row>
    <row r="64" ht="22.5" customHeight="1">
      <c r="A64" s="173">
        <v>44965.0</v>
      </c>
      <c r="B64" s="237">
        <v>-918.09</v>
      </c>
      <c r="E64" s="165">
        <v>44635.0</v>
      </c>
      <c r="F64" s="157">
        <v>-499.0</v>
      </c>
      <c r="I64" s="31"/>
      <c r="J64" s="31"/>
      <c r="K64" s="31"/>
      <c r="L64" s="31"/>
      <c r="M64" s="37"/>
      <c r="N64" s="37"/>
      <c r="O64" s="31"/>
      <c r="P64" s="31"/>
      <c r="Q64" s="239"/>
      <c r="R64" s="31"/>
    </row>
    <row r="65" ht="22.5" customHeight="1">
      <c r="A65" s="173">
        <v>45357.0</v>
      </c>
      <c r="B65" s="156">
        <v>9296.0</v>
      </c>
      <c r="C65" s="8" t="str">
        <f>"PROFIT TILL " &amp; SUM(B55:B65)</f>
        <v>PROFIT TILL 3126.46</v>
      </c>
      <c r="E65" s="173">
        <v>44741.0</v>
      </c>
      <c r="F65" s="237">
        <v>-721.6</v>
      </c>
      <c r="I65" s="31"/>
      <c r="J65" s="31"/>
      <c r="K65" s="31"/>
      <c r="L65" s="31"/>
      <c r="M65" s="37"/>
      <c r="N65" s="37"/>
      <c r="O65" s="31"/>
      <c r="P65" s="31"/>
      <c r="Q65" s="239"/>
      <c r="R65" s="31"/>
    </row>
    <row r="66" ht="22.5" customHeight="1">
      <c r="A66" s="173">
        <v>45498.0</v>
      </c>
      <c r="B66" s="126">
        <v>-9550.2</v>
      </c>
      <c r="E66" s="173">
        <v>44750.0</v>
      </c>
      <c r="F66" s="237">
        <v>-469.9</v>
      </c>
      <c r="I66" s="31"/>
      <c r="J66" s="31"/>
      <c r="K66" s="31"/>
      <c r="L66" s="31"/>
      <c r="M66" s="37"/>
      <c r="N66" s="37"/>
      <c r="O66" s="31"/>
      <c r="P66" s="31"/>
      <c r="Q66" s="239"/>
      <c r="R66" s="31"/>
    </row>
    <row r="67" ht="22.5" customHeight="1">
      <c r="A67" s="170">
        <v>45523.0</v>
      </c>
      <c r="B67" s="127">
        <v>-5269.77</v>
      </c>
      <c r="E67" s="173">
        <v>44760.0</v>
      </c>
      <c r="F67" s="237">
        <v>-566.28</v>
      </c>
    </row>
    <row r="68" ht="22.5" customHeight="1">
      <c r="A68" s="170">
        <v>45741.0</v>
      </c>
      <c r="B68" s="127">
        <v>-1302.42</v>
      </c>
      <c r="E68" s="173">
        <v>44792.0</v>
      </c>
      <c r="F68" s="237">
        <v>-523.1</v>
      </c>
    </row>
    <row r="69" ht="22.5" customHeight="1">
      <c r="A69" s="170">
        <v>45764.0</v>
      </c>
      <c r="B69" s="127">
        <v>-493.44</v>
      </c>
      <c r="E69" s="173">
        <v>44816.0</v>
      </c>
      <c r="F69" s="237">
        <v>-491.65</v>
      </c>
    </row>
    <row r="70" ht="22.5" customHeight="1">
      <c r="A70" s="170">
        <v>45817.0</v>
      </c>
      <c r="B70" s="127">
        <v>-1454.24</v>
      </c>
      <c r="E70" s="173">
        <v>44844.0</v>
      </c>
      <c r="F70" s="237">
        <v>-457.35</v>
      </c>
    </row>
    <row r="71" ht="22.5" customHeight="1">
      <c r="A71" s="170">
        <v>45825.0</v>
      </c>
      <c r="B71" s="127">
        <v>-545.37</v>
      </c>
      <c r="E71" s="173">
        <v>44882.0</v>
      </c>
      <c r="F71" s="237">
        <v>-465.05</v>
      </c>
      <c r="G71" s="47"/>
      <c r="H71" s="47"/>
      <c r="I71" s="47"/>
      <c r="J71" s="47"/>
      <c r="K71" s="47"/>
    </row>
    <row r="72" ht="22.5" customHeight="1">
      <c r="A72" s="170">
        <v>45854.0</v>
      </c>
      <c r="B72" s="127">
        <v>-577.65</v>
      </c>
      <c r="E72" s="173">
        <v>44914.0</v>
      </c>
      <c r="F72" s="237">
        <v>-556.92</v>
      </c>
      <c r="G72" s="47"/>
      <c r="H72" s="47"/>
      <c r="I72" s="47"/>
      <c r="J72" s="47"/>
      <c r="K72" s="47"/>
    </row>
    <row r="73" ht="22.5" customHeight="1">
      <c r="A73" s="226">
        <v>45887.0</v>
      </c>
      <c r="B73" s="204">
        <v>-410.94</v>
      </c>
      <c r="D73" s="240"/>
      <c r="E73" s="165">
        <v>44942.0</v>
      </c>
      <c r="F73" s="157">
        <v>-499.0</v>
      </c>
      <c r="G73" s="240"/>
    </row>
    <row r="74" ht="22.5" customHeight="1">
      <c r="A74" s="227">
        <v>45947.0</v>
      </c>
      <c r="B74" s="204">
        <v>-469.24</v>
      </c>
      <c r="D74" s="240"/>
      <c r="E74" s="173">
        <v>44960.0</v>
      </c>
      <c r="F74" s="237">
        <v>-999.6</v>
      </c>
      <c r="G74" s="240"/>
    </row>
    <row r="75" ht="22.5" customHeight="1">
      <c r="A75" s="227">
        <v>45978.0</v>
      </c>
      <c r="B75" s="204">
        <v>-476.9</v>
      </c>
      <c r="E75" s="173">
        <v>44965.0</v>
      </c>
      <c r="F75" s="237">
        <v>-918.09</v>
      </c>
    </row>
    <row r="76" ht="22.5" customHeight="1">
      <c r="A76" s="227">
        <v>46015.0</v>
      </c>
      <c r="B76" s="204">
        <v>-469.76</v>
      </c>
      <c r="E76" s="165">
        <v>44972.0</v>
      </c>
      <c r="F76" s="157">
        <v>-499.0</v>
      </c>
    </row>
    <row r="77" ht="22.5" customHeight="1">
      <c r="A77" s="241">
        <f>TODAY()</f>
        <v>46048</v>
      </c>
      <c r="B77" s="242">
        <f>I49</f>
        <v>29750</v>
      </c>
      <c r="E77" s="165">
        <v>45000.0</v>
      </c>
      <c r="F77" s="157">
        <v>-499.0</v>
      </c>
    </row>
    <row r="78" ht="22.5" customHeight="1">
      <c r="A78" s="243" t="s">
        <v>28</v>
      </c>
      <c r="B78" s="244">
        <f>XIRR(B55:B77,A55:A77)</f>
        <v>0.3322088876</v>
      </c>
      <c r="E78" s="165">
        <v>45033.0</v>
      </c>
      <c r="F78" s="157">
        <v>-499.0</v>
      </c>
    </row>
    <row r="79" ht="22.5" customHeight="1">
      <c r="E79" s="165">
        <v>45061.0</v>
      </c>
      <c r="F79" s="157">
        <v>-499.0</v>
      </c>
    </row>
    <row r="80" ht="22.5" customHeight="1">
      <c r="E80" s="165">
        <v>45092.0</v>
      </c>
      <c r="F80" s="157">
        <v>-499.0</v>
      </c>
    </row>
    <row r="81" ht="22.5" customHeight="1">
      <c r="E81" s="165">
        <v>45124.0</v>
      </c>
      <c r="F81" s="157">
        <v>-499.0</v>
      </c>
    </row>
    <row r="82" ht="22.5" customHeight="1">
      <c r="E82" s="165">
        <v>45154.0</v>
      </c>
      <c r="F82" s="157">
        <v>-499.0</v>
      </c>
    </row>
    <row r="83" ht="22.5" customHeight="1">
      <c r="E83" s="165">
        <v>45184.0</v>
      </c>
      <c r="F83" s="157">
        <v>-499.0</v>
      </c>
    </row>
    <row r="84" ht="22.5" customHeight="1">
      <c r="E84" s="165">
        <v>45215.0</v>
      </c>
      <c r="F84" s="157">
        <v>-499.0</v>
      </c>
    </row>
    <row r="85" ht="22.5" customHeight="1">
      <c r="E85" s="165">
        <v>45245.0</v>
      </c>
      <c r="F85" s="157">
        <v>-499.0</v>
      </c>
    </row>
    <row r="86" ht="22.5" customHeight="1">
      <c r="E86" s="165">
        <v>45275.0</v>
      </c>
      <c r="F86" s="157">
        <v>-499.0</v>
      </c>
    </row>
    <row r="87" ht="22.5" customHeight="1">
      <c r="E87" s="165">
        <v>45306.0</v>
      </c>
      <c r="F87" s="157">
        <v>-499.0</v>
      </c>
    </row>
    <row r="88" ht="22.5" customHeight="1">
      <c r="E88" s="165">
        <v>45337.0</v>
      </c>
      <c r="F88" s="157">
        <v>-499.0</v>
      </c>
    </row>
    <row r="89" ht="22.5" customHeight="1">
      <c r="E89" s="173">
        <v>45357.0</v>
      </c>
      <c r="F89" s="156">
        <v>9296.0</v>
      </c>
    </row>
    <row r="90" ht="22.5" customHeight="1">
      <c r="E90" s="165">
        <v>45358.0</v>
      </c>
      <c r="F90" s="157">
        <v>19835.0</v>
      </c>
    </row>
    <row r="91" ht="22.5" customHeight="1">
      <c r="E91" s="165">
        <v>45366.0</v>
      </c>
      <c r="F91" s="157">
        <v>-499.0</v>
      </c>
    </row>
    <row r="92" ht="22.5" customHeight="1">
      <c r="E92" s="165">
        <v>45397.0</v>
      </c>
      <c r="F92" s="157">
        <v>-499.0</v>
      </c>
    </row>
    <row r="93" ht="22.5" customHeight="1">
      <c r="E93" s="165">
        <v>45428.0</v>
      </c>
      <c r="F93" s="157">
        <v>-499.0</v>
      </c>
    </row>
    <row r="94" ht="22.5" customHeight="1">
      <c r="E94" s="165">
        <v>45462.0</v>
      </c>
      <c r="F94" s="157">
        <v>-499.0</v>
      </c>
    </row>
    <row r="95" ht="22.5" customHeight="1">
      <c r="E95" s="245">
        <v>45489.0</v>
      </c>
      <c r="F95" s="168">
        <v>-499.0</v>
      </c>
    </row>
    <row r="96" ht="22.5" customHeight="1">
      <c r="E96" s="173">
        <v>45498.0</v>
      </c>
      <c r="F96" s="126">
        <v>-9550.2</v>
      </c>
    </row>
    <row r="97" ht="22.5" customHeight="1">
      <c r="E97" s="170">
        <v>45520.0</v>
      </c>
      <c r="F97" s="156">
        <v>-499.0</v>
      </c>
    </row>
    <row r="98" ht="22.5" customHeight="1">
      <c r="E98" s="170">
        <v>45523.0</v>
      </c>
      <c r="F98" s="127">
        <v>-5269.77</v>
      </c>
    </row>
    <row r="99" ht="22.5" customHeight="1">
      <c r="E99" s="170">
        <v>45741.0</v>
      </c>
      <c r="F99" s="127">
        <f>1302.42*(-1)</f>
        <v>-1302.42</v>
      </c>
    </row>
    <row r="100" ht="22.5" customHeight="1">
      <c r="E100" s="170">
        <v>45764.0</v>
      </c>
      <c r="F100" s="156">
        <v>-493.44</v>
      </c>
    </row>
    <row r="101" ht="22.5" customHeight="1">
      <c r="E101" s="170">
        <v>45817.0</v>
      </c>
      <c r="F101" s="156">
        <v>-1454.24</v>
      </c>
    </row>
    <row r="102" ht="22.5" customHeight="1">
      <c r="E102" s="170">
        <v>45825.0</v>
      </c>
      <c r="F102" s="156">
        <v>-545.37</v>
      </c>
    </row>
    <row r="103" ht="22.5" customHeight="1">
      <c r="E103" s="170">
        <v>45854.0</v>
      </c>
      <c r="F103" s="156">
        <v>-577.65</v>
      </c>
    </row>
    <row r="104" ht="22.5" customHeight="1">
      <c r="E104" s="226">
        <v>45887.0</v>
      </c>
      <c r="F104" s="237">
        <v>-410.94</v>
      </c>
    </row>
    <row r="105" ht="22.5" customHeight="1">
      <c r="E105" s="227">
        <v>45947.0</v>
      </c>
      <c r="F105" s="237">
        <v>-469.24</v>
      </c>
    </row>
    <row r="106" ht="22.5" customHeight="1">
      <c r="E106" s="227">
        <v>45978.0</v>
      </c>
      <c r="F106" s="237">
        <v>-476.9</v>
      </c>
    </row>
    <row r="107" ht="22.5" customHeight="1">
      <c r="E107" s="227">
        <v>46015.0</v>
      </c>
      <c r="F107" s="237">
        <v>-469.76</v>
      </c>
    </row>
    <row r="108" ht="22.5" customHeight="1">
      <c r="E108" s="246">
        <f t="shared" ref="E108:E109" si="5">TODAY()</f>
        <v>46048</v>
      </c>
      <c r="F108" s="247">
        <f>I49</f>
        <v>29750</v>
      </c>
    </row>
    <row r="109" ht="22.5" customHeight="1">
      <c r="E109" s="248">
        <f t="shared" si="5"/>
        <v>46048</v>
      </c>
      <c r="F109" s="249">
        <f>'MF holdings and transactions'!K320</f>
        <v>7276.56064</v>
      </c>
    </row>
    <row r="111">
      <c r="E111" s="243" t="s">
        <v>28</v>
      </c>
      <c r="F111" s="244">
        <f>XIRR(F55:F109,E55:E109)</f>
        <v>0.2720145912</v>
      </c>
    </row>
  </sheetData>
  <mergeCells count="2">
    <mergeCell ref="A52:C52"/>
    <mergeCell ref="E52:G52"/>
  </mergeCells>
  <conditionalFormatting sqref="A1 A8 A25 A52 E52">
    <cfRule type="cellIs" dxfId="1" priority="1" operator="equal">
      <formula>"REDEEM"</formula>
    </cfRule>
  </conditionalFormatting>
  <conditionalFormatting sqref="A1 A8 A25 A52 E52">
    <cfRule type="cellIs" dxfId="0" priority="2" operator="equal">
      <formula>"PURCHASE"</formula>
    </cfRule>
  </conditionalFormatting>
  <conditionalFormatting sqref="A1 A8 A25 A52 E52">
    <cfRule type="containsText" dxfId="9" priority="3" operator="containsText" text="SWITCH">
      <formula>NOT(ISERROR(SEARCH(("SWITCH"),(A1))))</formula>
    </cfRule>
  </conditionalFormatting>
  <dataValidations>
    <dataValidation type="custom" allowBlank="1" showDropDown="1" sqref="G11:G22">
      <formula1>OR(NOT(ISERROR(DATEVALUE(G11))), AND(ISNUMBER(G11), LEFT(CELL("format", G11))="D"))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12.63"/>
    <col customWidth="1" min="4" max="4" width="10.38"/>
    <col customWidth="1" min="5" max="5" width="21.5"/>
    <col customWidth="1" min="6" max="6" width="18.63"/>
    <col customWidth="1" min="7" max="7" width="13.5"/>
    <col customWidth="1" min="8" max="8" width="37.75"/>
    <col customWidth="1" min="9" max="9" width="38.0"/>
    <col customWidth="1" min="10" max="10" width="27.75"/>
  </cols>
  <sheetData>
    <row r="1">
      <c r="A1" s="250" t="s">
        <v>168</v>
      </c>
    </row>
    <row r="2">
      <c r="A2" s="251" t="s">
        <v>169</v>
      </c>
      <c r="B2" s="252" t="s">
        <v>170</v>
      </c>
      <c r="C2" s="252" t="s">
        <v>171</v>
      </c>
      <c r="D2" s="251" t="s">
        <v>126</v>
      </c>
      <c r="E2" s="253" t="s">
        <v>172</v>
      </c>
      <c r="F2" s="252" t="s">
        <v>173</v>
      </c>
      <c r="G2" s="252" t="s">
        <v>174</v>
      </c>
      <c r="H2" s="252" t="s">
        <v>175</v>
      </c>
      <c r="I2" s="252" t="s">
        <v>176</v>
      </c>
      <c r="J2" s="252" t="s">
        <v>177</v>
      </c>
      <c r="K2" s="254"/>
      <c r="L2" s="255"/>
      <c r="M2" s="255"/>
      <c r="N2" s="255"/>
      <c r="O2" s="255"/>
      <c r="P2" s="255"/>
      <c r="Q2" s="255"/>
      <c r="R2" s="255"/>
      <c r="S2" s="255"/>
      <c r="T2" s="254"/>
      <c r="U2" s="254"/>
      <c r="V2" s="254"/>
      <c r="W2" s="254"/>
      <c r="X2" s="254"/>
      <c r="Y2" s="254"/>
      <c r="Z2" s="254"/>
      <c r="AA2" s="254"/>
    </row>
    <row r="3">
      <c r="A3" s="256">
        <v>1.0</v>
      </c>
      <c r="B3" s="256" t="s">
        <v>8</v>
      </c>
      <c r="C3" s="257">
        <f t="shared" ref="C3:C13" si="1">H3/D3</f>
        <v>3206666.667</v>
      </c>
      <c r="D3" s="256">
        <v>1.5E-4</v>
      </c>
      <c r="E3" s="258">
        <v>44677.0</v>
      </c>
      <c r="F3" s="259">
        <v>45352.0</v>
      </c>
      <c r="G3" s="256" t="s">
        <v>178</v>
      </c>
      <c r="H3" s="260">
        <v>481.0</v>
      </c>
      <c r="I3" s="260">
        <v>798.0</v>
      </c>
      <c r="J3" s="261">
        <f t="shared" ref="J3:J13" si="2">-(H3-I3)</f>
        <v>317</v>
      </c>
      <c r="L3" s="262"/>
      <c r="M3" s="262"/>
      <c r="N3" s="263"/>
      <c r="O3" s="263"/>
      <c r="P3" s="263"/>
      <c r="Q3" s="263"/>
      <c r="R3" s="263"/>
    </row>
    <row r="4">
      <c r="A4" s="264">
        <v>2.0</v>
      </c>
      <c r="B4" s="256" t="s">
        <v>10</v>
      </c>
      <c r="C4" s="257">
        <f t="shared" si="1"/>
        <v>237619.0476</v>
      </c>
      <c r="D4" s="256">
        <v>0.0021</v>
      </c>
      <c r="E4" s="258">
        <v>44677.0</v>
      </c>
      <c r="F4" s="259">
        <v>45352.0</v>
      </c>
      <c r="G4" s="256" t="s">
        <v>178</v>
      </c>
      <c r="H4" s="260">
        <v>499.0</v>
      </c>
      <c r="I4" s="260">
        <v>612.0</v>
      </c>
      <c r="J4" s="261">
        <f t="shared" si="2"/>
        <v>113</v>
      </c>
      <c r="L4" s="262"/>
      <c r="M4" s="262"/>
      <c r="N4" s="263"/>
      <c r="O4" s="263"/>
      <c r="P4" s="263"/>
      <c r="Q4" s="263"/>
      <c r="R4" s="263"/>
    </row>
    <row r="5">
      <c r="A5" s="264">
        <v>3.0</v>
      </c>
      <c r="B5" s="256" t="s">
        <v>8</v>
      </c>
      <c r="C5" s="257">
        <f t="shared" si="1"/>
        <v>2410000</v>
      </c>
      <c r="D5" s="256">
        <v>1.0E-4</v>
      </c>
      <c r="E5" s="258">
        <v>44722.0</v>
      </c>
      <c r="F5" s="259">
        <v>45352.0</v>
      </c>
      <c r="G5" s="256" t="s">
        <v>178</v>
      </c>
      <c r="H5" s="260">
        <v>241.0</v>
      </c>
      <c r="I5" s="260">
        <v>532.0</v>
      </c>
      <c r="J5" s="261">
        <f t="shared" si="2"/>
        <v>291</v>
      </c>
      <c r="L5" s="262"/>
      <c r="M5" s="262"/>
      <c r="N5" s="263"/>
      <c r="O5" s="263"/>
      <c r="P5" s="263"/>
      <c r="Q5" s="263"/>
      <c r="R5" s="263"/>
    </row>
    <row r="6">
      <c r="A6" s="264">
        <v>4.0</v>
      </c>
      <c r="B6" s="256" t="s">
        <v>10</v>
      </c>
      <c r="C6" s="257">
        <f t="shared" si="1"/>
        <v>142173.913</v>
      </c>
      <c r="D6" s="256">
        <v>0.0023</v>
      </c>
      <c r="E6" s="258">
        <v>44722.0</v>
      </c>
      <c r="F6" s="259">
        <v>45352.0</v>
      </c>
      <c r="G6" s="256" t="s">
        <v>178</v>
      </c>
      <c r="H6" s="260">
        <v>327.0</v>
      </c>
      <c r="I6" s="260">
        <v>670.0</v>
      </c>
      <c r="J6" s="261">
        <f t="shared" si="2"/>
        <v>343</v>
      </c>
      <c r="L6" s="262"/>
      <c r="M6" s="262"/>
      <c r="N6" s="263"/>
      <c r="O6" s="263"/>
      <c r="P6" s="263"/>
      <c r="Q6" s="263"/>
      <c r="R6" s="263"/>
    </row>
    <row r="7">
      <c r="A7" s="264">
        <v>5.0</v>
      </c>
      <c r="B7" s="256" t="s">
        <v>179</v>
      </c>
      <c r="C7" s="257">
        <f t="shared" si="1"/>
        <v>19.69405379</v>
      </c>
      <c r="D7" s="256">
        <v>10.866224</v>
      </c>
      <c r="E7" s="258">
        <v>44722.0</v>
      </c>
      <c r="F7" s="259">
        <v>45352.0</v>
      </c>
      <c r="G7" s="256" t="s">
        <v>178</v>
      </c>
      <c r="H7" s="260">
        <v>214.0</v>
      </c>
      <c r="I7" s="260">
        <v>247.0</v>
      </c>
      <c r="J7" s="261">
        <f t="shared" si="2"/>
        <v>33</v>
      </c>
      <c r="L7" s="262"/>
      <c r="M7" s="262"/>
      <c r="N7" s="263"/>
      <c r="O7" s="263"/>
      <c r="P7" s="263"/>
      <c r="Q7" s="263"/>
      <c r="R7" s="263"/>
    </row>
    <row r="8">
      <c r="A8" s="264">
        <v>6.0</v>
      </c>
      <c r="B8" s="256" t="s">
        <v>8</v>
      </c>
      <c r="C8" s="257">
        <f t="shared" si="1"/>
        <v>1753846.154</v>
      </c>
      <c r="D8" s="256">
        <v>1.3E-4</v>
      </c>
      <c r="E8" s="258">
        <v>44736.0</v>
      </c>
      <c r="F8" s="259">
        <v>45352.0</v>
      </c>
      <c r="G8" s="256" t="s">
        <v>178</v>
      </c>
      <c r="H8" s="260">
        <v>228.0</v>
      </c>
      <c r="I8" s="260">
        <v>692.0</v>
      </c>
      <c r="J8" s="261">
        <f t="shared" si="2"/>
        <v>464</v>
      </c>
      <c r="L8" s="262"/>
      <c r="M8" s="262"/>
      <c r="N8" s="263"/>
      <c r="O8" s="263"/>
      <c r="P8" s="263"/>
      <c r="Q8" s="263"/>
      <c r="R8" s="263"/>
    </row>
    <row r="9">
      <c r="A9" s="264">
        <v>7.0</v>
      </c>
      <c r="B9" s="256" t="s">
        <v>10</v>
      </c>
      <c r="C9" s="257">
        <f t="shared" si="1"/>
        <v>95555.55556</v>
      </c>
      <c r="D9" s="256">
        <v>0.0018</v>
      </c>
      <c r="E9" s="258">
        <v>44736.0</v>
      </c>
      <c r="F9" s="259">
        <v>45352.0</v>
      </c>
      <c r="G9" s="256" t="s">
        <v>178</v>
      </c>
      <c r="H9" s="260">
        <v>172.0</v>
      </c>
      <c r="I9" s="260">
        <v>524.0</v>
      </c>
      <c r="J9" s="261">
        <f t="shared" si="2"/>
        <v>352</v>
      </c>
      <c r="L9" s="262"/>
      <c r="M9" s="262"/>
      <c r="N9" s="263"/>
      <c r="O9" s="263"/>
      <c r="P9" s="263"/>
      <c r="Q9" s="263"/>
      <c r="R9" s="263"/>
    </row>
    <row r="10">
      <c r="A10" s="264">
        <v>8.0</v>
      </c>
      <c r="B10" s="256" t="s">
        <v>179</v>
      </c>
      <c r="C10" s="257">
        <f t="shared" si="1"/>
        <v>19.21524922</v>
      </c>
      <c r="D10" s="256">
        <v>0.364294</v>
      </c>
      <c r="E10" s="258">
        <v>44740.0</v>
      </c>
      <c r="F10" s="259">
        <v>45352.0</v>
      </c>
      <c r="G10" s="256" t="s">
        <v>178</v>
      </c>
      <c r="H10" s="260">
        <v>7.0</v>
      </c>
      <c r="I10" s="260">
        <v>9.0</v>
      </c>
      <c r="J10" s="261">
        <f t="shared" si="2"/>
        <v>2</v>
      </c>
      <c r="L10" s="262"/>
      <c r="M10" s="262"/>
      <c r="N10" s="263"/>
      <c r="O10" s="263"/>
      <c r="P10" s="263"/>
      <c r="Q10" s="263"/>
      <c r="R10" s="263"/>
    </row>
    <row r="11">
      <c r="A11" s="264">
        <v>9.0</v>
      </c>
      <c r="B11" s="256" t="s">
        <v>8</v>
      </c>
      <c r="C11" s="257">
        <f t="shared" si="1"/>
        <v>1766666.667</v>
      </c>
      <c r="D11" s="256">
        <v>3.3E-4</v>
      </c>
      <c r="E11" s="258">
        <v>44750.0</v>
      </c>
      <c r="F11" s="259">
        <v>45352.0</v>
      </c>
      <c r="G11" s="256" t="s">
        <v>178</v>
      </c>
      <c r="H11" s="260">
        <v>583.0</v>
      </c>
      <c r="I11" s="260">
        <v>1755.0</v>
      </c>
      <c r="J11" s="261">
        <f t="shared" si="2"/>
        <v>1172</v>
      </c>
      <c r="L11" s="262"/>
      <c r="M11" s="262"/>
      <c r="N11" s="263"/>
      <c r="O11" s="263"/>
      <c r="P11" s="263"/>
      <c r="Q11" s="263"/>
      <c r="R11" s="263"/>
    </row>
    <row r="12">
      <c r="A12" s="264">
        <v>10.0</v>
      </c>
      <c r="B12" s="256" t="s">
        <v>10</v>
      </c>
      <c r="C12" s="257">
        <f t="shared" si="1"/>
        <v>99821.42857</v>
      </c>
      <c r="D12" s="256">
        <v>0.0056</v>
      </c>
      <c r="E12" s="258">
        <v>44750.0</v>
      </c>
      <c r="F12" s="259">
        <v>45352.0</v>
      </c>
      <c r="G12" s="256" t="s">
        <v>178</v>
      </c>
      <c r="H12" s="260">
        <v>559.0</v>
      </c>
      <c r="I12" s="260">
        <v>1630.0</v>
      </c>
      <c r="J12" s="261">
        <f t="shared" si="2"/>
        <v>1071</v>
      </c>
      <c r="L12" s="262"/>
      <c r="M12" s="262"/>
      <c r="N12" s="263"/>
      <c r="O12" s="263"/>
      <c r="P12" s="263"/>
      <c r="Q12" s="263"/>
      <c r="R12" s="263"/>
    </row>
    <row r="13">
      <c r="A13" s="264">
        <v>11.0</v>
      </c>
      <c r="B13" s="256" t="s">
        <v>179</v>
      </c>
      <c r="C13" s="257">
        <f t="shared" si="1"/>
        <v>18.40176105</v>
      </c>
      <c r="D13" s="256">
        <v>0.869482</v>
      </c>
      <c r="E13" s="258">
        <v>44750.0</v>
      </c>
      <c r="F13" s="259">
        <v>45352.0</v>
      </c>
      <c r="G13" s="256" t="s">
        <v>178</v>
      </c>
      <c r="H13" s="260">
        <v>16.0</v>
      </c>
      <c r="I13" s="260">
        <v>20.0</v>
      </c>
      <c r="J13" s="261">
        <f t="shared" si="2"/>
        <v>4</v>
      </c>
      <c r="L13" s="262"/>
      <c r="M13" s="262"/>
      <c r="N13" s="263"/>
      <c r="O13" s="263"/>
      <c r="P13" s="263"/>
      <c r="Q13" s="263"/>
      <c r="R13" s="263"/>
    </row>
    <row r="14">
      <c r="A14" s="264">
        <v>12.0</v>
      </c>
      <c r="B14" s="264" t="s">
        <v>8</v>
      </c>
      <c r="C14" s="265">
        <v>5319182.0</v>
      </c>
      <c r="D14" s="264">
        <v>0.001</v>
      </c>
      <c r="E14" s="266">
        <v>45481.0</v>
      </c>
      <c r="F14" s="259"/>
      <c r="G14" s="256"/>
      <c r="H14" s="260"/>
      <c r="I14" s="260"/>
      <c r="J14" s="261"/>
      <c r="K14" s="267"/>
      <c r="L14" s="268"/>
      <c r="M14" s="268"/>
      <c r="N14" s="256"/>
      <c r="O14" s="256"/>
      <c r="P14" s="256"/>
      <c r="Q14" s="256"/>
      <c r="R14" s="256"/>
      <c r="S14" s="267"/>
      <c r="T14" s="267"/>
      <c r="U14" s="267"/>
      <c r="V14" s="267"/>
      <c r="W14" s="267"/>
      <c r="X14" s="267"/>
      <c r="Y14" s="267"/>
      <c r="Z14" s="267"/>
      <c r="AA14" s="267"/>
    </row>
    <row r="15">
      <c r="A15" s="264">
        <v>13.0</v>
      </c>
      <c r="B15" s="264" t="s">
        <v>10</v>
      </c>
      <c r="C15" s="265">
        <v>283900.0</v>
      </c>
      <c r="D15" s="264">
        <v>0.0163</v>
      </c>
      <c r="E15" s="266">
        <v>45481.0</v>
      </c>
      <c r="F15" s="259"/>
      <c r="G15" s="256"/>
      <c r="H15" s="260"/>
      <c r="I15" s="260"/>
      <c r="J15" s="261"/>
      <c r="K15" s="267"/>
      <c r="L15" s="268"/>
      <c r="M15" s="268"/>
      <c r="N15" s="256"/>
      <c r="O15" s="256"/>
      <c r="P15" s="256"/>
      <c r="Q15" s="256"/>
      <c r="R15" s="256"/>
      <c r="S15" s="267"/>
      <c r="T15" s="267"/>
      <c r="U15" s="267"/>
      <c r="V15" s="267"/>
      <c r="W15" s="267"/>
      <c r="X15" s="267"/>
      <c r="Y15" s="267"/>
      <c r="Z15" s="267"/>
      <c r="AA15" s="267"/>
    </row>
    <row r="16">
      <c r="E16" s="100"/>
    </row>
    <row r="17">
      <c r="A17" s="269" t="s">
        <v>180</v>
      </c>
      <c r="B17" s="233"/>
      <c r="C17" s="233"/>
      <c r="D17" s="233"/>
      <c r="E17" s="233"/>
      <c r="F17" s="233"/>
      <c r="G17" s="233"/>
      <c r="H17" s="233"/>
      <c r="I17" s="233"/>
      <c r="J17" s="3"/>
    </row>
    <row r="18">
      <c r="A18" s="270" t="s">
        <v>181</v>
      </c>
      <c r="B18" s="271" t="s">
        <v>182</v>
      </c>
      <c r="E18" s="100"/>
    </row>
    <row r="19">
      <c r="A19" s="270" t="s">
        <v>183</v>
      </c>
      <c r="B19" s="271" t="s">
        <v>184</v>
      </c>
      <c r="E19" s="100"/>
    </row>
    <row r="20">
      <c r="E20" s="100"/>
    </row>
    <row r="21">
      <c r="B21" s="272" t="s">
        <v>185</v>
      </c>
      <c r="C21" s="272" t="s">
        <v>186</v>
      </c>
      <c r="D21" s="272" t="s">
        <v>187</v>
      </c>
      <c r="E21" s="273" t="s">
        <v>188</v>
      </c>
    </row>
    <row r="22">
      <c r="A22" s="272" t="s">
        <v>8</v>
      </c>
      <c r="B22" s="13">
        <f>IFERROR(__xludf.DUMMYFUNCTION("GOOGLEFINANCE(""BTCINR"")"),8105255.146)</f>
        <v>8105255.146</v>
      </c>
      <c r="C22" s="8">
        <f t="shared" ref="C22:C23" si="3">C14*D14</f>
        <v>5319.182</v>
      </c>
      <c r="D22" s="8">
        <f t="shared" ref="D22:D23" si="4">B22*D14</f>
        <v>8105.255146</v>
      </c>
      <c r="E22" s="100">
        <f t="shared" ref="E22:E23" si="5">(D22-C22)*100/C22</f>
        <v>52.37784956</v>
      </c>
      <c r="F22" s="272" t="s">
        <v>7</v>
      </c>
      <c r="G22" s="274">
        <f>SUMPRODUCT(C14:C15,D14:D15)</f>
        <v>9946.752</v>
      </c>
    </row>
    <row r="23">
      <c r="A23" s="272" t="s">
        <v>10</v>
      </c>
      <c r="B23" s="13">
        <f>IFERROR(__xludf.DUMMYFUNCTION("GOOGLEFINANCE(""ETHINR"")"),268960.1667)</f>
        <v>268960.1667</v>
      </c>
      <c r="C23" s="8">
        <f t="shared" si="3"/>
        <v>4627.57</v>
      </c>
      <c r="D23" s="8">
        <f t="shared" si="4"/>
        <v>4384.050717</v>
      </c>
      <c r="E23" s="100">
        <f t="shared" si="5"/>
        <v>-5.262357626</v>
      </c>
      <c r="F23" s="272" t="s">
        <v>9</v>
      </c>
      <c r="G23" s="274">
        <f>SUMPRODUCT(D14:D15,B22:B23)</f>
        <v>12489.30586</v>
      </c>
    </row>
    <row r="24">
      <c r="E24" s="100"/>
      <c r="F24" s="272" t="s">
        <v>11</v>
      </c>
      <c r="G24" s="8">
        <f>G23-G22</f>
        <v>2542.553863</v>
      </c>
    </row>
    <row r="25">
      <c r="E25" s="100"/>
      <c r="G25" s="18">
        <f>G24/G22</f>
        <v>0.255616493</v>
      </c>
    </row>
    <row r="26">
      <c r="E26" s="100"/>
    </row>
    <row r="27">
      <c r="E27" s="100"/>
    </row>
    <row r="28">
      <c r="E28" s="100"/>
    </row>
    <row r="29">
      <c r="E29" s="100"/>
    </row>
    <row r="30">
      <c r="E30" s="100"/>
    </row>
    <row r="31">
      <c r="E31" s="100"/>
    </row>
    <row r="32">
      <c r="E32" s="100"/>
    </row>
    <row r="33">
      <c r="E33" s="100"/>
    </row>
    <row r="34">
      <c r="E34" s="100"/>
    </row>
    <row r="35">
      <c r="E35" s="100"/>
    </row>
    <row r="36">
      <c r="E36" s="100"/>
    </row>
    <row r="37">
      <c r="E37" s="100"/>
    </row>
    <row r="38">
      <c r="E38" s="100"/>
    </row>
    <row r="39">
      <c r="E39" s="100"/>
    </row>
    <row r="40">
      <c r="E40" s="100"/>
    </row>
    <row r="41">
      <c r="E41" s="100"/>
    </row>
    <row r="42">
      <c r="E42" s="100"/>
    </row>
    <row r="43">
      <c r="E43" s="100"/>
    </row>
    <row r="44">
      <c r="E44" s="100"/>
    </row>
    <row r="45">
      <c r="E45" s="100"/>
    </row>
    <row r="46">
      <c r="E46" s="100"/>
    </row>
    <row r="47">
      <c r="E47" s="100"/>
    </row>
    <row r="48">
      <c r="E48" s="100"/>
    </row>
    <row r="49">
      <c r="E49" s="100"/>
    </row>
    <row r="50">
      <c r="E50" s="100"/>
    </row>
    <row r="51">
      <c r="E51" s="100"/>
    </row>
    <row r="52">
      <c r="E52" s="100"/>
    </row>
    <row r="53">
      <c r="E53" s="100"/>
    </row>
    <row r="54">
      <c r="E54" s="100"/>
    </row>
    <row r="55">
      <c r="E55" s="100"/>
    </row>
    <row r="56">
      <c r="E56" s="100"/>
    </row>
    <row r="57">
      <c r="E57" s="100"/>
    </row>
    <row r="58">
      <c r="E58" s="100"/>
    </row>
    <row r="59">
      <c r="E59" s="100"/>
    </row>
    <row r="60">
      <c r="E60" s="100"/>
    </row>
    <row r="61">
      <c r="E61" s="100"/>
    </row>
    <row r="62">
      <c r="E62" s="100"/>
    </row>
    <row r="63">
      <c r="E63" s="100"/>
    </row>
    <row r="64">
      <c r="E64" s="100"/>
    </row>
    <row r="65">
      <c r="E65" s="100"/>
    </row>
    <row r="66">
      <c r="E66" s="100"/>
    </row>
    <row r="67">
      <c r="E67" s="100"/>
    </row>
    <row r="68">
      <c r="E68" s="100"/>
    </row>
    <row r="69">
      <c r="E69" s="100"/>
    </row>
    <row r="70">
      <c r="E70" s="100"/>
    </row>
    <row r="71">
      <c r="E71" s="100"/>
    </row>
    <row r="72">
      <c r="E72" s="100"/>
    </row>
    <row r="73">
      <c r="E73" s="100"/>
    </row>
    <row r="74">
      <c r="E74" s="100"/>
    </row>
    <row r="75">
      <c r="E75" s="100"/>
    </row>
    <row r="76">
      <c r="E76" s="100"/>
    </row>
    <row r="77">
      <c r="E77" s="100"/>
    </row>
    <row r="78">
      <c r="E78" s="100"/>
    </row>
    <row r="79">
      <c r="E79" s="100"/>
    </row>
    <row r="80">
      <c r="E80" s="100"/>
    </row>
    <row r="81">
      <c r="E81" s="100"/>
    </row>
    <row r="82">
      <c r="E82" s="100"/>
    </row>
    <row r="83">
      <c r="E83" s="100"/>
    </row>
    <row r="84">
      <c r="E84" s="100"/>
    </row>
    <row r="85">
      <c r="E85" s="100"/>
    </row>
    <row r="86">
      <c r="E86" s="100"/>
    </row>
    <row r="87">
      <c r="E87" s="100"/>
    </row>
    <row r="88">
      <c r="E88" s="100"/>
    </row>
    <row r="89">
      <c r="E89" s="100"/>
    </row>
    <row r="90">
      <c r="E90" s="100"/>
    </row>
    <row r="91">
      <c r="E91" s="100"/>
    </row>
    <row r="92">
      <c r="E92" s="100"/>
    </row>
    <row r="93">
      <c r="E93" s="100"/>
    </row>
    <row r="94">
      <c r="E94" s="100"/>
    </row>
    <row r="95">
      <c r="E95" s="100"/>
    </row>
    <row r="96">
      <c r="E96" s="100"/>
    </row>
    <row r="97">
      <c r="E97" s="100"/>
    </row>
    <row r="98">
      <c r="E98" s="100"/>
    </row>
    <row r="99">
      <c r="E99" s="100"/>
    </row>
    <row r="100">
      <c r="E100" s="100"/>
    </row>
    <row r="101">
      <c r="E101" s="100"/>
    </row>
    <row r="102">
      <c r="E102" s="100"/>
    </row>
    <row r="103">
      <c r="E103" s="100"/>
    </row>
    <row r="104">
      <c r="E104" s="100"/>
    </row>
    <row r="105">
      <c r="E105" s="100"/>
    </row>
    <row r="106">
      <c r="E106" s="100"/>
    </row>
    <row r="107">
      <c r="E107" s="100"/>
    </row>
    <row r="108">
      <c r="E108" s="100"/>
    </row>
    <row r="109">
      <c r="E109" s="100"/>
    </row>
    <row r="110">
      <c r="E110" s="100"/>
    </row>
    <row r="111">
      <c r="E111" s="100"/>
    </row>
    <row r="112">
      <c r="E112" s="100"/>
    </row>
    <row r="113">
      <c r="E113" s="100"/>
    </row>
    <row r="114">
      <c r="E114" s="100"/>
    </row>
    <row r="115">
      <c r="E115" s="100"/>
    </row>
    <row r="116">
      <c r="E116" s="100"/>
    </row>
    <row r="117">
      <c r="E117" s="100"/>
    </row>
    <row r="118">
      <c r="E118" s="100"/>
    </row>
    <row r="119">
      <c r="E119" s="100"/>
    </row>
    <row r="120">
      <c r="E120" s="100"/>
    </row>
    <row r="121">
      <c r="E121" s="100"/>
    </row>
    <row r="122">
      <c r="E122" s="100"/>
    </row>
    <row r="123">
      <c r="E123" s="100"/>
    </row>
    <row r="124">
      <c r="E124" s="100"/>
    </row>
    <row r="125">
      <c r="E125" s="100"/>
    </row>
    <row r="126">
      <c r="E126" s="100"/>
    </row>
    <row r="127">
      <c r="E127" s="100"/>
    </row>
    <row r="128">
      <c r="E128" s="100"/>
    </row>
    <row r="129">
      <c r="E129" s="100"/>
    </row>
    <row r="130">
      <c r="E130" s="100"/>
    </row>
    <row r="131">
      <c r="E131" s="100"/>
    </row>
    <row r="132">
      <c r="E132" s="100"/>
    </row>
    <row r="133">
      <c r="E133" s="100"/>
    </row>
    <row r="134">
      <c r="E134" s="100"/>
    </row>
    <row r="135">
      <c r="E135" s="100"/>
    </row>
    <row r="136">
      <c r="E136" s="100"/>
    </row>
    <row r="137">
      <c r="E137" s="100"/>
    </row>
    <row r="138">
      <c r="E138" s="100"/>
    </row>
    <row r="139">
      <c r="E139" s="100"/>
    </row>
    <row r="140">
      <c r="E140" s="100"/>
    </row>
    <row r="141">
      <c r="E141" s="100"/>
    </row>
    <row r="142">
      <c r="E142" s="100"/>
    </row>
    <row r="143">
      <c r="E143" s="100"/>
    </row>
    <row r="144">
      <c r="E144" s="100"/>
    </row>
    <row r="145">
      <c r="E145" s="100"/>
    </row>
    <row r="146">
      <c r="E146" s="100"/>
    </row>
    <row r="147">
      <c r="E147" s="100"/>
    </row>
    <row r="148">
      <c r="E148" s="100"/>
    </row>
    <row r="149">
      <c r="E149" s="100"/>
    </row>
    <row r="150">
      <c r="E150" s="100"/>
    </row>
    <row r="151">
      <c r="E151" s="100"/>
    </row>
    <row r="152">
      <c r="E152" s="100"/>
    </row>
    <row r="153">
      <c r="E153" s="100"/>
    </row>
    <row r="154">
      <c r="E154" s="100"/>
    </row>
    <row r="155">
      <c r="E155" s="100"/>
    </row>
    <row r="156">
      <c r="E156" s="100"/>
    </row>
    <row r="157">
      <c r="E157" s="100"/>
    </row>
    <row r="158">
      <c r="E158" s="100"/>
    </row>
    <row r="159">
      <c r="E159" s="100"/>
    </row>
    <row r="160">
      <c r="E160" s="100"/>
    </row>
    <row r="161">
      <c r="E161" s="100"/>
    </row>
    <row r="162">
      <c r="E162" s="100"/>
    </row>
    <row r="163">
      <c r="E163" s="100"/>
    </row>
    <row r="164">
      <c r="E164" s="100"/>
    </row>
    <row r="165">
      <c r="E165" s="100"/>
    </row>
    <row r="166">
      <c r="E166" s="100"/>
    </row>
    <row r="167">
      <c r="E167" s="100"/>
    </row>
    <row r="168">
      <c r="E168" s="100"/>
    </row>
    <row r="169">
      <c r="E169" s="100"/>
    </row>
    <row r="170">
      <c r="E170" s="100"/>
    </row>
    <row r="171">
      <c r="E171" s="100"/>
    </row>
    <row r="172">
      <c r="E172" s="100"/>
    </row>
    <row r="173">
      <c r="E173" s="100"/>
    </row>
    <row r="174">
      <c r="E174" s="100"/>
    </row>
    <row r="175">
      <c r="E175" s="100"/>
    </row>
    <row r="176">
      <c r="E176" s="100"/>
    </row>
    <row r="177">
      <c r="E177" s="100"/>
    </row>
    <row r="178">
      <c r="E178" s="100"/>
    </row>
    <row r="179">
      <c r="E179" s="100"/>
    </row>
    <row r="180">
      <c r="E180" s="100"/>
    </row>
    <row r="181">
      <c r="E181" s="100"/>
    </row>
    <row r="182">
      <c r="E182" s="100"/>
    </row>
    <row r="183">
      <c r="E183" s="100"/>
    </row>
    <row r="184">
      <c r="E184" s="100"/>
    </row>
    <row r="185">
      <c r="E185" s="100"/>
    </row>
    <row r="186">
      <c r="E186" s="100"/>
    </row>
    <row r="187">
      <c r="E187" s="100"/>
    </row>
    <row r="188">
      <c r="E188" s="100"/>
    </row>
    <row r="189">
      <c r="E189" s="100"/>
    </row>
    <row r="190">
      <c r="E190" s="100"/>
    </row>
    <row r="191">
      <c r="E191" s="100"/>
    </row>
    <row r="192">
      <c r="E192" s="100"/>
    </row>
    <row r="193">
      <c r="E193" s="100"/>
    </row>
    <row r="194">
      <c r="E194" s="100"/>
    </row>
    <row r="195">
      <c r="E195" s="100"/>
    </row>
    <row r="196">
      <c r="E196" s="100"/>
    </row>
    <row r="197">
      <c r="E197" s="100"/>
    </row>
    <row r="198">
      <c r="E198" s="100"/>
    </row>
    <row r="199">
      <c r="E199" s="100"/>
    </row>
    <row r="200">
      <c r="E200" s="100"/>
    </row>
    <row r="201">
      <c r="E201" s="100"/>
    </row>
    <row r="202">
      <c r="E202" s="100"/>
    </row>
    <row r="203">
      <c r="E203" s="100"/>
    </row>
    <row r="204">
      <c r="E204" s="100"/>
    </row>
    <row r="205">
      <c r="E205" s="100"/>
    </row>
    <row r="206">
      <c r="E206" s="100"/>
    </row>
    <row r="207">
      <c r="E207" s="100"/>
    </row>
    <row r="208">
      <c r="E208" s="100"/>
    </row>
    <row r="209">
      <c r="E209" s="100"/>
    </row>
    <row r="210">
      <c r="E210" s="100"/>
    </row>
    <row r="211">
      <c r="E211" s="100"/>
    </row>
    <row r="212">
      <c r="E212" s="100"/>
    </row>
    <row r="213">
      <c r="E213" s="100"/>
    </row>
    <row r="214">
      <c r="E214" s="100"/>
    </row>
    <row r="215">
      <c r="E215" s="100"/>
    </row>
    <row r="216">
      <c r="E216" s="100"/>
    </row>
    <row r="217">
      <c r="E217" s="100"/>
    </row>
    <row r="218">
      <c r="E218" s="100"/>
    </row>
    <row r="219">
      <c r="E219" s="100"/>
    </row>
    <row r="220">
      <c r="E220" s="100"/>
    </row>
    <row r="221">
      <c r="E221" s="100"/>
    </row>
    <row r="222">
      <c r="E222" s="100"/>
    </row>
    <row r="223">
      <c r="E223" s="100"/>
    </row>
    <row r="224">
      <c r="E224" s="100"/>
    </row>
    <row r="225">
      <c r="E225" s="100"/>
    </row>
    <row r="226">
      <c r="E226" s="100"/>
    </row>
    <row r="227">
      <c r="E227" s="100"/>
    </row>
    <row r="228">
      <c r="E228" s="100"/>
    </row>
    <row r="229">
      <c r="E229" s="100"/>
    </row>
    <row r="230">
      <c r="E230" s="100"/>
    </row>
    <row r="231">
      <c r="E231" s="100"/>
    </row>
    <row r="232">
      <c r="E232" s="100"/>
    </row>
    <row r="233">
      <c r="E233" s="100"/>
    </row>
    <row r="234">
      <c r="E234" s="100"/>
    </row>
    <row r="235">
      <c r="E235" s="100"/>
    </row>
    <row r="236">
      <c r="E236" s="100"/>
    </row>
    <row r="237">
      <c r="E237" s="100"/>
    </row>
    <row r="238">
      <c r="E238" s="100"/>
    </row>
    <row r="239">
      <c r="E239" s="100"/>
    </row>
    <row r="240">
      <c r="E240" s="100"/>
    </row>
    <row r="241">
      <c r="E241" s="100"/>
    </row>
    <row r="242">
      <c r="E242" s="100"/>
    </row>
    <row r="243">
      <c r="E243" s="100"/>
    </row>
    <row r="244">
      <c r="E244" s="100"/>
    </row>
    <row r="245">
      <c r="E245" s="100"/>
    </row>
    <row r="246">
      <c r="E246" s="100"/>
    </row>
    <row r="247">
      <c r="E247" s="100"/>
    </row>
    <row r="248">
      <c r="E248" s="100"/>
    </row>
    <row r="249">
      <c r="E249" s="100"/>
    </row>
    <row r="250">
      <c r="E250" s="100"/>
    </row>
    <row r="251">
      <c r="E251" s="100"/>
    </row>
    <row r="252">
      <c r="E252" s="100"/>
    </row>
    <row r="253">
      <c r="E253" s="100"/>
    </row>
    <row r="254">
      <c r="E254" s="100"/>
    </row>
    <row r="255">
      <c r="E255" s="100"/>
    </row>
    <row r="256">
      <c r="E256" s="100"/>
    </row>
    <row r="257">
      <c r="E257" s="100"/>
    </row>
    <row r="258">
      <c r="E258" s="100"/>
    </row>
    <row r="259">
      <c r="E259" s="100"/>
    </row>
    <row r="260">
      <c r="E260" s="100"/>
    </row>
    <row r="261">
      <c r="E261" s="100"/>
    </row>
    <row r="262">
      <c r="E262" s="100"/>
    </row>
    <row r="263">
      <c r="E263" s="100"/>
    </row>
    <row r="264">
      <c r="E264" s="100"/>
    </row>
    <row r="265">
      <c r="E265" s="100"/>
    </row>
    <row r="266">
      <c r="E266" s="100"/>
    </row>
    <row r="267">
      <c r="E267" s="100"/>
    </row>
    <row r="268">
      <c r="E268" s="100"/>
    </row>
    <row r="269">
      <c r="E269" s="100"/>
    </row>
    <row r="270">
      <c r="E270" s="100"/>
    </row>
    <row r="271">
      <c r="E271" s="100"/>
    </row>
    <row r="272">
      <c r="E272" s="100"/>
    </row>
    <row r="273">
      <c r="E273" s="100"/>
    </row>
    <row r="274">
      <c r="E274" s="100"/>
    </row>
    <row r="275">
      <c r="E275" s="100"/>
    </row>
    <row r="276">
      <c r="E276" s="100"/>
    </row>
    <row r="277">
      <c r="E277" s="100"/>
    </row>
    <row r="278">
      <c r="E278" s="100"/>
    </row>
    <row r="279">
      <c r="E279" s="100"/>
    </row>
    <row r="280">
      <c r="E280" s="100"/>
    </row>
    <row r="281">
      <c r="E281" s="100"/>
    </row>
    <row r="282">
      <c r="E282" s="100"/>
    </row>
    <row r="283">
      <c r="E283" s="100"/>
    </row>
    <row r="284">
      <c r="E284" s="100"/>
    </row>
    <row r="285">
      <c r="E285" s="100"/>
    </row>
    <row r="286">
      <c r="E286" s="100"/>
    </row>
    <row r="287">
      <c r="E287" s="100"/>
    </row>
    <row r="288">
      <c r="E288" s="100"/>
    </row>
    <row r="289">
      <c r="E289" s="100"/>
    </row>
    <row r="290">
      <c r="E290" s="100"/>
    </row>
    <row r="291">
      <c r="E291" s="100"/>
    </row>
    <row r="292">
      <c r="E292" s="100"/>
    </row>
    <row r="293">
      <c r="E293" s="100"/>
    </row>
    <row r="294">
      <c r="E294" s="100"/>
    </row>
    <row r="295">
      <c r="E295" s="100"/>
    </row>
    <row r="296">
      <c r="E296" s="100"/>
    </row>
    <row r="297">
      <c r="E297" s="100"/>
    </row>
    <row r="298">
      <c r="E298" s="100"/>
    </row>
    <row r="299">
      <c r="E299" s="100"/>
    </row>
    <row r="300">
      <c r="E300" s="100"/>
    </row>
    <row r="301">
      <c r="E301" s="100"/>
    </row>
    <row r="302">
      <c r="E302" s="100"/>
    </row>
    <row r="303">
      <c r="E303" s="100"/>
    </row>
    <row r="304">
      <c r="E304" s="100"/>
    </row>
    <row r="305">
      <c r="E305" s="100"/>
    </row>
    <row r="306">
      <c r="E306" s="100"/>
    </row>
    <row r="307">
      <c r="E307" s="100"/>
    </row>
    <row r="308">
      <c r="E308" s="100"/>
    </row>
    <row r="309">
      <c r="E309" s="100"/>
    </row>
    <row r="310">
      <c r="E310" s="100"/>
    </row>
    <row r="311">
      <c r="E311" s="100"/>
    </row>
    <row r="312">
      <c r="E312" s="100"/>
    </row>
    <row r="313">
      <c r="E313" s="100"/>
    </row>
    <row r="314">
      <c r="E314" s="100"/>
    </row>
    <row r="315">
      <c r="E315" s="100"/>
    </row>
    <row r="316">
      <c r="E316" s="100"/>
    </row>
    <row r="317">
      <c r="E317" s="100"/>
    </row>
    <row r="318">
      <c r="E318" s="100"/>
    </row>
    <row r="319">
      <c r="E319" s="100"/>
    </row>
    <row r="320">
      <c r="E320" s="100"/>
    </row>
    <row r="321">
      <c r="E321" s="100"/>
    </row>
    <row r="322">
      <c r="E322" s="100"/>
    </row>
    <row r="323">
      <c r="E323" s="100"/>
    </row>
    <row r="324">
      <c r="E324" s="100"/>
    </row>
    <row r="325">
      <c r="E325" s="100"/>
    </row>
    <row r="326">
      <c r="E326" s="100"/>
    </row>
    <row r="327">
      <c r="E327" s="100"/>
    </row>
    <row r="328">
      <c r="E328" s="100"/>
    </row>
    <row r="329">
      <c r="E329" s="100"/>
    </row>
    <row r="330">
      <c r="E330" s="100"/>
    </row>
    <row r="331">
      <c r="E331" s="100"/>
    </row>
    <row r="332">
      <c r="E332" s="100"/>
    </row>
    <row r="333">
      <c r="E333" s="100"/>
    </row>
    <row r="334">
      <c r="E334" s="100"/>
    </row>
    <row r="335">
      <c r="E335" s="100"/>
    </row>
    <row r="336">
      <c r="E336" s="100"/>
    </row>
    <row r="337">
      <c r="E337" s="100"/>
    </row>
    <row r="338">
      <c r="E338" s="100"/>
    </row>
    <row r="339">
      <c r="E339" s="100"/>
    </row>
    <row r="340">
      <c r="E340" s="100"/>
    </row>
    <row r="341">
      <c r="E341" s="100"/>
    </row>
    <row r="342">
      <c r="E342" s="100"/>
    </row>
    <row r="343">
      <c r="E343" s="100"/>
    </row>
    <row r="344">
      <c r="E344" s="100"/>
    </row>
    <row r="345">
      <c r="E345" s="100"/>
    </row>
    <row r="346">
      <c r="E346" s="100"/>
    </row>
    <row r="347">
      <c r="E347" s="100"/>
    </row>
    <row r="348">
      <c r="E348" s="100"/>
    </row>
    <row r="349">
      <c r="E349" s="100"/>
    </row>
    <row r="350">
      <c r="E350" s="100"/>
    </row>
    <row r="351">
      <c r="E351" s="100"/>
    </row>
    <row r="352">
      <c r="E352" s="100"/>
    </row>
    <row r="353">
      <c r="E353" s="100"/>
    </row>
    <row r="354">
      <c r="E354" s="100"/>
    </row>
    <row r="355">
      <c r="E355" s="100"/>
    </row>
    <row r="356">
      <c r="E356" s="100"/>
    </row>
    <row r="357">
      <c r="E357" s="100"/>
    </row>
    <row r="358">
      <c r="E358" s="100"/>
    </row>
    <row r="359">
      <c r="E359" s="100"/>
    </row>
    <row r="360">
      <c r="E360" s="100"/>
    </row>
    <row r="361">
      <c r="E361" s="100"/>
    </row>
    <row r="362">
      <c r="E362" s="100"/>
    </row>
    <row r="363">
      <c r="E363" s="100"/>
    </row>
    <row r="364">
      <c r="E364" s="100"/>
    </row>
    <row r="365">
      <c r="E365" s="100"/>
    </row>
    <row r="366">
      <c r="E366" s="100"/>
    </row>
    <row r="367">
      <c r="E367" s="100"/>
    </row>
    <row r="368">
      <c r="E368" s="100"/>
    </row>
    <row r="369">
      <c r="E369" s="100"/>
    </row>
    <row r="370">
      <c r="E370" s="100"/>
    </row>
    <row r="371">
      <c r="E371" s="100"/>
    </row>
    <row r="372">
      <c r="E372" s="100"/>
    </row>
    <row r="373">
      <c r="E373" s="100"/>
    </row>
    <row r="374">
      <c r="E374" s="100"/>
    </row>
    <row r="375">
      <c r="E375" s="100"/>
    </row>
    <row r="376">
      <c r="E376" s="100"/>
    </row>
    <row r="377">
      <c r="E377" s="100"/>
    </row>
    <row r="378">
      <c r="E378" s="100"/>
    </row>
    <row r="379">
      <c r="E379" s="100"/>
    </row>
    <row r="380">
      <c r="E380" s="100"/>
    </row>
    <row r="381">
      <c r="E381" s="100"/>
    </row>
    <row r="382">
      <c r="E382" s="100"/>
    </row>
    <row r="383">
      <c r="E383" s="100"/>
    </row>
    <row r="384">
      <c r="E384" s="100"/>
    </row>
    <row r="385">
      <c r="E385" s="100"/>
    </row>
    <row r="386">
      <c r="E386" s="100"/>
    </row>
    <row r="387">
      <c r="E387" s="100"/>
    </row>
    <row r="388">
      <c r="E388" s="100"/>
    </row>
    <row r="389">
      <c r="E389" s="100"/>
    </row>
    <row r="390">
      <c r="E390" s="100"/>
    </row>
    <row r="391">
      <c r="E391" s="100"/>
    </row>
    <row r="392">
      <c r="E392" s="100"/>
    </row>
    <row r="393">
      <c r="E393" s="100"/>
    </row>
    <row r="394">
      <c r="E394" s="100"/>
    </row>
    <row r="395">
      <c r="E395" s="100"/>
    </row>
    <row r="396">
      <c r="E396" s="100"/>
    </row>
    <row r="397">
      <c r="E397" s="100"/>
    </row>
    <row r="398">
      <c r="E398" s="100"/>
    </row>
    <row r="399">
      <c r="E399" s="100"/>
    </row>
    <row r="400">
      <c r="E400" s="100"/>
    </row>
    <row r="401">
      <c r="E401" s="100"/>
    </row>
    <row r="402">
      <c r="E402" s="100"/>
    </row>
    <row r="403">
      <c r="E403" s="100"/>
    </row>
    <row r="404">
      <c r="E404" s="100"/>
    </row>
    <row r="405">
      <c r="E405" s="100"/>
    </row>
    <row r="406">
      <c r="E406" s="100"/>
    </row>
    <row r="407">
      <c r="E407" s="100"/>
    </row>
    <row r="408">
      <c r="E408" s="100"/>
    </row>
    <row r="409">
      <c r="E409" s="100"/>
    </row>
    <row r="410">
      <c r="E410" s="100"/>
    </row>
    <row r="411">
      <c r="E411" s="100"/>
    </row>
    <row r="412">
      <c r="E412" s="100"/>
    </row>
    <row r="413">
      <c r="E413" s="100"/>
    </row>
    <row r="414">
      <c r="E414" s="100"/>
    </row>
    <row r="415">
      <c r="E415" s="100"/>
    </row>
    <row r="416">
      <c r="E416" s="100"/>
    </row>
    <row r="417">
      <c r="E417" s="100"/>
    </row>
    <row r="418">
      <c r="E418" s="100"/>
    </row>
    <row r="419">
      <c r="E419" s="100"/>
    </row>
    <row r="420">
      <c r="E420" s="100"/>
    </row>
    <row r="421">
      <c r="E421" s="100"/>
    </row>
    <row r="422">
      <c r="E422" s="100"/>
    </row>
    <row r="423">
      <c r="E423" s="100"/>
    </row>
    <row r="424">
      <c r="E424" s="100"/>
    </row>
    <row r="425">
      <c r="E425" s="100"/>
    </row>
    <row r="426">
      <c r="E426" s="100"/>
    </row>
    <row r="427">
      <c r="E427" s="100"/>
    </row>
    <row r="428">
      <c r="E428" s="100"/>
    </row>
    <row r="429">
      <c r="E429" s="100"/>
    </row>
    <row r="430">
      <c r="E430" s="100"/>
    </row>
    <row r="431">
      <c r="E431" s="100"/>
    </row>
    <row r="432">
      <c r="E432" s="100"/>
    </row>
    <row r="433">
      <c r="E433" s="100"/>
    </row>
    <row r="434">
      <c r="E434" s="100"/>
    </row>
    <row r="435">
      <c r="E435" s="100"/>
    </row>
    <row r="436">
      <c r="E436" s="100"/>
    </row>
    <row r="437">
      <c r="E437" s="100"/>
    </row>
    <row r="438">
      <c r="E438" s="100"/>
    </row>
    <row r="439">
      <c r="E439" s="100"/>
    </row>
    <row r="440">
      <c r="E440" s="100"/>
    </row>
    <row r="441">
      <c r="E441" s="100"/>
    </row>
    <row r="442">
      <c r="E442" s="100"/>
    </row>
    <row r="443">
      <c r="E443" s="100"/>
    </row>
    <row r="444">
      <c r="E444" s="100"/>
    </row>
    <row r="445">
      <c r="E445" s="100"/>
    </row>
    <row r="446">
      <c r="E446" s="100"/>
    </row>
    <row r="447">
      <c r="E447" s="100"/>
    </row>
    <row r="448">
      <c r="E448" s="100"/>
    </row>
    <row r="449">
      <c r="E449" s="100"/>
    </row>
    <row r="450">
      <c r="E450" s="100"/>
    </row>
    <row r="451">
      <c r="E451" s="100"/>
    </row>
    <row r="452">
      <c r="E452" s="100"/>
    </row>
    <row r="453">
      <c r="E453" s="100"/>
    </row>
    <row r="454">
      <c r="E454" s="100"/>
    </row>
    <row r="455">
      <c r="E455" s="100"/>
    </row>
    <row r="456">
      <c r="E456" s="100"/>
    </row>
    <row r="457">
      <c r="E457" s="100"/>
    </row>
    <row r="458">
      <c r="E458" s="100"/>
    </row>
    <row r="459">
      <c r="E459" s="100"/>
    </row>
    <row r="460">
      <c r="E460" s="100"/>
    </row>
    <row r="461">
      <c r="E461" s="100"/>
    </row>
    <row r="462">
      <c r="E462" s="100"/>
    </row>
    <row r="463">
      <c r="E463" s="100"/>
    </row>
    <row r="464">
      <c r="E464" s="100"/>
    </row>
    <row r="465">
      <c r="E465" s="100"/>
    </row>
    <row r="466">
      <c r="E466" s="100"/>
    </row>
    <row r="467">
      <c r="E467" s="100"/>
    </row>
    <row r="468">
      <c r="E468" s="100"/>
    </row>
    <row r="469">
      <c r="E469" s="100"/>
    </row>
    <row r="470">
      <c r="E470" s="100"/>
    </row>
    <row r="471">
      <c r="E471" s="100"/>
    </row>
    <row r="472">
      <c r="E472" s="100"/>
    </row>
    <row r="473">
      <c r="E473" s="100"/>
    </row>
    <row r="474">
      <c r="E474" s="100"/>
    </row>
    <row r="475">
      <c r="E475" s="100"/>
    </row>
    <row r="476">
      <c r="E476" s="100"/>
    </row>
    <row r="477">
      <c r="E477" s="100"/>
    </row>
    <row r="478">
      <c r="E478" s="100"/>
    </row>
    <row r="479">
      <c r="E479" s="100"/>
    </row>
    <row r="480">
      <c r="E480" s="100"/>
    </row>
    <row r="481">
      <c r="E481" s="100"/>
    </row>
    <row r="482">
      <c r="E482" s="100"/>
    </row>
    <row r="483">
      <c r="E483" s="100"/>
    </row>
    <row r="484">
      <c r="E484" s="100"/>
    </row>
    <row r="485">
      <c r="E485" s="100"/>
    </row>
    <row r="486">
      <c r="E486" s="100"/>
    </row>
    <row r="487">
      <c r="E487" s="100"/>
    </row>
    <row r="488">
      <c r="E488" s="100"/>
    </row>
    <row r="489">
      <c r="E489" s="100"/>
    </row>
    <row r="490">
      <c r="E490" s="100"/>
    </row>
    <row r="491">
      <c r="E491" s="100"/>
    </row>
    <row r="492">
      <c r="E492" s="100"/>
    </row>
    <row r="493">
      <c r="E493" s="100"/>
    </row>
    <row r="494">
      <c r="E494" s="100"/>
    </row>
    <row r="495">
      <c r="E495" s="100"/>
    </row>
    <row r="496">
      <c r="E496" s="100"/>
    </row>
    <row r="497">
      <c r="E497" s="100"/>
    </row>
    <row r="498">
      <c r="E498" s="100"/>
    </row>
    <row r="499">
      <c r="E499" s="100"/>
    </row>
    <row r="500">
      <c r="E500" s="100"/>
    </row>
    <row r="501">
      <c r="E501" s="100"/>
    </row>
    <row r="502">
      <c r="E502" s="100"/>
    </row>
    <row r="503">
      <c r="E503" s="100"/>
    </row>
    <row r="504">
      <c r="E504" s="100"/>
    </row>
    <row r="505">
      <c r="E505" s="100"/>
    </row>
    <row r="506">
      <c r="E506" s="100"/>
    </row>
    <row r="507">
      <c r="E507" s="100"/>
    </row>
    <row r="508">
      <c r="E508" s="100"/>
    </row>
    <row r="509">
      <c r="E509" s="100"/>
    </row>
    <row r="510">
      <c r="E510" s="100"/>
    </row>
    <row r="511">
      <c r="E511" s="100"/>
    </row>
    <row r="512">
      <c r="E512" s="100"/>
    </row>
    <row r="513">
      <c r="E513" s="100"/>
    </row>
    <row r="514">
      <c r="E514" s="100"/>
    </row>
    <row r="515">
      <c r="E515" s="100"/>
    </row>
    <row r="516">
      <c r="E516" s="100"/>
    </row>
    <row r="517">
      <c r="E517" s="100"/>
    </row>
    <row r="518">
      <c r="E518" s="100"/>
    </row>
    <row r="519">
      <c r="E519" s="100"/>
    </row>
    <row r="520">
      <c r="E520" s="100"/>
    </row>
    <row r="521">
      <c r="E521" s="100"/>
    </row>
    <row r="522">
      <c r="E522" s="100"/>
    </row>
    <row r="523">
      <c r="E523" s="100"/>
    </row>
    <row r="524">
      <c r="E524" s="100"/>
    </row>
    <row r="525">
      <c r="E525" s="100"/>
    </row>
    <row r="526">
      <c r="E526" s="100"/>
    </row>
    <row r="527">
      <c r="E527" s="100"/>
    </row>
    <row r="528">
      <c r="E528" s="100"/>
    </row>
    <row r="529">
      <c r="E529" s="100"/>
    </row>
    <row r="530">
      <c r="E530" s="100"/>
    </row>
    <row r="531">
      <c r="E531" s="100"/>
    </row>
    <row r="532">
      <c r="E532" s="100"/>
    </row>
    <row r="533">
      <c r="E533" s="100"/>
    </row>
    <row r="534">
      <c r="E534" s="100"/>
    </row>
    <row r="535">
      <c r="E535" s="100"/>
    </row>
    <row r="536">
      <c r="E536" s="100"/>
    </row>
    <row r="537">
      <c r="E537" s="100"/>
    </row>
    <row r="538">
      <c r="E538" s="100"/>
    </row>
    <row r="539">
      <c r="E539" s="100"/>
    </row>
    <row r="540">
      <c r="E540" s="100"/>
    </row>
    <row r="541">
      <c r="E541" s="100"/>
    </row>
    <row r="542">
      <c r="E542" s="100"/>
    </row>
    <row r="543">
      <c r="E543" s="100"/>
    </row>
    <row r="544">
      <c r="E544" s="100"/>
    </row>
    <row r="545">
      <c r="E545" s="100"/>
    </row>
    <row r="546">
      <c r="E546" s="100"/>
    </row>
    <row r="547">
      <c r="E547" s="100"/>
    </row>
    <row r="548">
      <c r="E548" s="100"/>
    </row>
    <row r="549">
      <c r="E549" s="100"/>
    </row>
    <row r="550">
      <c r="E550" s="100"/>
    </row>
    <row r="551">
      <c r="E551" s="100"/>
    </row>
    <row r="552">
      <c r="E552" s="100"/>
    </row>
    <row r="553">
      <c r="E553" s="100"/>
    </row>
    <row r="554">
      <c r="E554" s="100"/>
    </row>
    <row r="555">
      <c r="E555" s="100"/>
    </row>
    <row r="556">
      <c r="E556" s="100"/>
    </row>
    <row r="557">
      <c r="E557" s="100"/>
    </row>
    <row r="558">
      <c r="E558" s="100"/>
    </row>
    <row r="559">
      <c r="E559" s="100"/>
    </row>
    <row r="560">
      <c r="E560" s="100"/>
    </row>
    <row r="561">
      <c r="E561" s="100"/>
    </row>
    <row r="562">
      <c r="E562" s="100"/>
    </row>
    <row r="563">
      <c r="E563" s="100"/>
    </row>
    <row r="564">
      <c r="E564" s="100"/>
    </row>
    <row r="565">
      <c r="E565" s="100"/>
    </row>
    <row r="566">
      <c r="E566" s="100"/>
    </row>
    <row r="567">
      <c r="E567" s="100"/>
    </row>
    <row r="568">
      <c r="E568" s="100"/>
    </row>
    <row r="569">
      <c r="E569" s="100"/>
    </row>
    <row r="570">
      <c r="E570" s="100"/>
    </row>
    <row r="571">
      <c r="E571" s="100"/>
    </row>
    <row r="572">
      <c r="E572" s="100"/>
    </row>
    <row r="573">
      <c r="E573" s="100"/>
    </row>
    <row r="574">
      <c r="E574" s="100"/>
    </row>
    <row r="575">
      <c r="E575" s="100"/>
    </row>
    <row r="576">
      <c r="E576" s="100"/>
    </row>
    <row r="577">
      <c r="E577" s="100"/>
    </row>
    <row r="578">
      <c r="E578" s="100"/>
    </row>
    <row r="579">
      <c r="E579" s="100"/>
    </row>
    <row r="580">
      <c r="E580" s="100"/>
    </row>
    <row r="581">
      <c r="E581" s="100"/>
    </row>
    <row r="582">
      <c r="E582" s="100"/>
    </row>
    <row r="583">
      <c r="E583" s="100"/>
    </row>
    <row r="584">
      <c r="E584" s="100"/>
    </row>
    <row r="585">
      <c r="E585" s="100"/>
    </row>
    <row r="586">
      <c r="E586" s="100"/>
    </row>
    <row r="587">
      <c r="E587" s="100"/>
    </row>
    <row r="588">
      <c r="E588" s="100"/>
    </row>
    <row r="589">
      <c r="E589" s="100"/>
    </row>
    <row r="590">
      <c r="E590" s="100"/>
    </row>
    <row r="591">
      <c r="E591" s="100"/>
    </row>
    <row r="592">
      <c r="E592" s="100"/>
    </row>
    <row r="593">
      <c r="E593" s="100"/>
    </row>
    <row r="594">
      <c r="E594" s="100"/>
    </row>
    <row r="595">
      <c r="E595" s="100"/>
    </row>
    <row r="596">
      <c r="E596" s="100"/>
    </row>
    <row r="597">
      <c r="E597" s="100"/>
    </row>
    <row r="598">
      <c r="E598" s="100"/>
    </row>
    <row r="599">
      <c r="E599" s="100"/>
    </row>
    <row r="600">
      <c r="E600" s="100"/>
    </row>
    <row r="601">
      <c r="E601" s="100"/>
    </row>
    <row r="602">
      <c r="E602" s="100"/>
    </row>
    <row r="603">
      <c r="E603" s="100"/>
    </row>
    <row r="604">
      <c r="E604" s="100"/>
    </row>
    <row r="605">
      <c r="E605" s="100"/>
    </row>
    <row r="606">
      <c r="E606" s="100"/>
    </row>
    <row r="607">
      <c r="E607" s="100"/>
    </row>
    <row r="608">
      <c r="E608" s="100"/>
    </row>
    <row r="609">
      <c r="E609" s="100"/>
    </row>
    <row r="610">
      <c r="E610" s="100"/>
    </row>
    <row r="611">
      <c r="E611" s="100"/>
    </row>
    <row r="612">
      <c r="E612" s="100"/>
    </row>
    <row r="613">
      <c r="E613" s="100"/>
    </row>
    <row r="614">
      <c r="E614" s="100"/>
    </row>
    <row r="615">
      <c r="E615" s="100"/>
    </row>
    <row r="616">
      <c r="E616" s="100"/>
    </row>
    <row r="617">
      <c r="E617" s="100"/>
    </row>
    <row r="618">
      <c r="E618" s="100"/>
    </row>
    <row r="619">
      <c r="E619" s="100"/>
    </row>
    <row r="620">
      <c r="E620" s="100"/>
    </row>
    <row r="621">
      <c r="E621" s="100"/>
    </row>
    <row r="622">
      <c r="E622" s="100"/>
    </row>
    <row r="623">
      <c r="E623" s="100"/>
    </row>
    <row r="624">
      <c r="E624" s="100"/>
    </row>
    <row r="625">
      <c r="E625" s="100"/>
    </row>
    <row r="626">
      <c r="E626" s="100"/>
    </row>
    <row r="627">
      <c r="E627" s="100"/>
    </row>
    <row r="628">
      <c r="E628" s="100"/>
    </row>
    <row r="629">
      <c r="E629" s="100"/>
    </row>
    <row r="630">
      <c r="E630" s="100"/>
    </row>
    <row r="631">
      <c r="E631" s="100"/>
    </row>
    <row r="632">
      <c r="E632" s="100"/>
    </row>
    <row r="633">
      <c r="E633" s="100"/>
    </row>
    <row r="634">
      <c r="E634" s="100"/>
    </row>
    <row r="635">
      <c r="E635" s="100"/>
    </row>
    <row r="636">
      <c r="E636" s="100"/>
    </row>
    <row r="637">
      <c r="E637" s="100"/>
    </row>
    <row r="638">
      <c r="E638" s="100"/>
    </row>
    <row r="639">
      <c r="E639" s="100"/>
    </row>
    <row r="640">
      <c r="E640" s="100"/>
    </row>
    <row r="641">
      <c r="E641" s="100"/>
    </row>
    <row r="642">
      <c r="E642" s="100"/>
    </row>
    <row r="643">
      <c r="E643" s="100"/>
    </row>
    <row r="644">
      <c r="E644" s="100"/>
    </row>
    <row r="645">
      <c r="E645" s="100"/>
    </row>
    <row r="646">
      <c r="E646" s="100"/>
    </row>
    <row r="647">
      <c r="E647" s="100"/>
    </row>
    <row r="648">
      <c r="E648" s="100"/>
    </row>
    <row r="649">
      <c r="E649" s="100"/>
    </row>
    <row r="650">
      <c r="E650" s="100"/>
    </row>
    <row r="651">
      <c r="E651" s="100"/>
    </row>
    <row r="652">
      <c r="E652" s="100"/>
    </row>
    <row r="653">
      <c r="E653" s="100"/>
    </row>
    <row r="654">
      <c r="E654" s="100"/>
    </row>
    <row r="655">
      <c r="E655" s="100"/>
    </row>
    <row r="656">
      <c r="E656" s="100"/>
    </row>
    <row r="657">
      <c r="E657" s="100"/>
    </row>
    <row r="658">
      <c r="E658" s="100"/>
    </row>
    <row r="659">
      <c r="E659" s="100"/>
    </row>
    <row r="660">
      <c r="E660" s="100"/>
    </row>
    <row r="661">
      <c r="E661" s="100"/>
    </row>
    <row r="662">
      <c r="E662" s="100"/>
    </row>
    <row r="663">
      <c r="E663" s="100"/>
    </row>
    <row r="664">
      <c r="E664" s="100"/>
    </row>
    <row r="665">
      <c r="E665" s="100"/>
    </row>
    <row r="666">
      <c r="E666" s="100"/>
    </row>
    <row r="667">
      <c r="E667" s="100"/>
    </row>
    <row r="668">
      <c r="E668" s="100"/>
    </row>
    <row r="669">
      <c r="E669" s="100"/>
    </row>
    <row r="670">
      <c r="E670" s="100"/>
    </row>
    <row r="671">
      <c r="E671" s="100"/>
    </row>
    <row r="672">
      <c r="E672" s="100"/>
    </row>
    <row r="673">
      <c r="E673" s="100"/>
    </row>
    <row r="674">
      <c r="E674" s="100"/>
    </row>
    <row r="675">
      <c r="E675" s="100"/>
    </row>
    <row r="676">
      <c r="E676" s="100"/>
    </row>
    <row r="677">
      <c r="E677" s="100"/>
    </row>
    <row r="678">
      <c r="E678" s="100"/>
    </row>
    <row r="679">
      <c r="E679" s="100"/>
    </row>
    <row r="680">
      <c r="E680" s="100"/>
    </row>
    <row r="681">
      <c r="E681" s="100"/>
    </row>
    <row r="682">
      <c r="E682" s="100"/>
    </row>
    <row r="683">
      <c r="E683" s="100"/>
    </row>
    <row r="684">
      <c r="E684" s="100"/>
    </row>
    <row r="685">
      <c r="E685" s="100"/>
    </row>
    <row r="686">
      <c r="E686" s="100"/>
    </row>
    <row r="687">
      <c r="E687" s="100"/>
    </row>
    <row r="688">
      <c r="E688" s="100"/>
    </row>
    <row r="689">
      <c r="E689" s="100"/>
    </row>
    <row r="690">
      <c r="E690" s="100"/>
    </row>
    <row r="691">
      <c r="E691" s="100"/>
    </row>
    <row r="692">
      <c r="E692" s="100"/>
    </row>
    <row r="693">
      <c r="E693" s="100"/>
    </row>
    <row r="694">
      <c r="E694" s="100"/>
    </row>
    <row r="695">
      <c r="E695" s="100"/>
    </row>
    <row r="696">
      <c r="E696" s="100"/>
    </row>
    <row r="697">
      <c r="E697" s="100"/>
    </row>
    <row r="698">
      <c r="E698" s="100"/>
    </row>
    <row r="699">
      <c r="E699" s="100"/>
    </row>
    <row r="700">
      <c r="E700" s="100"/>
    </row>
    <row r="701">
      <c r="E701" s="100"/>
    </row>
    <row r="702">
      <c r="E702" s="100"/>
    </row>
    <row r="703">
      <c r="E703" s="100"/>
    </row>
    <row r="704">
      <c r="E704" s="100"/>
    </row>
    <row r="705">
      <c r="E705" s="100"/>
    </row>
    <row r="706">
      <c r="E706" s="100"/>
    </row>
    <row r="707">
      <c r="E707" s="100"/>
    </row>
    <row r="708">
      <c r="E708" s="100"/>
    </row>
    <row r="709">
      <c r="E709" s="100"/>
    </row>
    <row r="710">
      <c r="E710" s="100"/>
    </row>
    <row r="711">
      <c r="E711" s="100"/>
    </row>
    <row r="712">
      <c r="E712" s="100"/>
    </row>
    <row r="713">
      <c r="E713" s="100"/>
    </row>
    <row r="714">
      <c r="E714" s="100"/>
    </row>
    <row r="715">
      <c r="E715" s="100"/>
    </row>
    <row r="716">
      <c r="E716" s="100"/>
    </row>
    <row r="717">
      <c r="E717" s="100"/>
    </row>
    <row r="718">
      <c r="E718" s="100"/>
    </row>
    <row r="719">
      <c r="E719" s="100"/>
    </row>
    <row r="720">
      <c r="E720" s="100"/>
    </row>
    <row r="721">
      <c r="E721" s="100"/>
    </row>
    <row r="722">
      <c r="E722" s="100"/>
    </row>
    <row r="723">
      <c r="E723" s="100"/>
    </row>
    <row r="724">
      <c r="E724" s="100"/>
    </row>
    <row r="725">
      <c r="E725" s="100"/>
    </row>
    <row r="726">
      <c r="E726" s="100"/>
    </row>
    <row r="727">
      <c r="E727" s="100"/>
    </row>
    <row r="728">
      <c r="E728" s="100"/>
    </row>
    <row r="729">
      <c r="E729" s="100"/>
    </row>
    <row r="730">
      <c r="E730" s="100"/>
    </row>
    <row r="731">
      <c r="E731" s="100"/>
    </row>
    <row r="732">
      <c r="E732" s="100"/>
    </row>
    <row r="733">
      <c r="E733" s="100"/>
    </row>
    <row r="734">
      <c r="E734" s="100"/>
    </row>
    <row r="735">
      <c r="E735" s="100"/>
    </row>
    <row r="736">
      <c r="E736" s="100"/>
    </row>
    <row r="737">
      <c r="E737" s="100"/>
    </row>
    <row r="738">
      <c r="E738" s="100"/>
    </row>
    <row r="739">
      <c r="E739" s="100"/>
    </row>
    <row r="740">
      <c r="E740" s="100"/>
    </row>
    <row r="741">
      <c r="E741" s="100"/>
    </row>
    <row r="742">
      <c r="E742" s="100"/>
    </row>
    <row r="743">
      <c r="E743" s="100"/>
    </row>
    <row r="744">
      <c r="E744" s="100"/>
    </row>
    <row r="745">
      <c r="E745" s="100"/>
    </row>
    <row r="746">
      <c r="E746" s="100"/>
    </row>
    <row r="747">
      <c r="E747" s="100"/>
    </row>
    <row r="748">
      <c r="E748" s="100"/>
    </row>
    <row r="749">
      <c r="E749" s="100"/>
    </row>
    <row r="750">
      <c r="E750" s="100"/>
    </row>
    <row r="751">
      <c r="E751" s="100"/>
    </row>
    <row r="752">
      <c r="E752" s="100"/>
    </row>
    <row r="753">
      <c r="E753" s="100"/>
    </row>
    <row r="754">
      <c r="E754" s="100"/>
    </row>
    <row r="755">
      <c r="E755" s="100"/>
    </row>
    <row r="756">
      <c r="E756" s="100"/>
    </row>
    <row r="757">
      <c r="E757" s="100"/>
    </row>
    <row r="758">
      <c r="E758" s="100"/>
    </row>
    <row r="759">
      <c r="E759" s="100"/>
    </row>
    <row r="760">
      <c r="E760" s="100"/>
    </row>
    <row r="761">
      <c r="E761" s="100"/>
    </row>
    <row r="762">
      <c r="E762" s="100"/>
    </row>
    <row r="763">
      <c r="E763" s="100"/>
    </row>
    <row r="764">
      <c r="E764" s="100"/>
    </row>
    <row r="765">
      <c r="E765" s="100"/>
    </row>
    <row r="766">
      <c r="E766" s="100"/>
    </row>
    <row r="767">
      <c r="E767" s="100"/>
    </row>
    <row r="768">
      <c r="E768" s="100"/>
    </row>
    <row r="769">
      <c r="E769" s="100"/>
    </row>
    <row r="770">
      <c r="E770" s="100"/>
    </row>
    <row r="771">
      <c r="E771" s="100"/>
    </row>
    <row r="772">
      <c r="E772" s="100"/>
    </row>
    <row r="773">
      <c r="E773" s="100"/>
    </row>
    <row r="774">
      <c r="E774" s="100"/>
    </row>
    <row r="775">
      <c r="E775" s="100"/>
    </row>
    <row r="776">
      <c r="E776" s="100"/>
    </row>
    <row r="777">
      <c r="E777" s="100"/>
    </row>
    <row r="778">
      <c r="E778" s="100"/>
    </row>
    <row r="779">
      <c r="E779" s="100"/>
    </row>
    <row r="780">
      <c r="E780" s="100"/>
    </row>
    <row r="781">
      <c r="E781" s="100"/>
    </row>
    <row r="782">
      <c r="E782" s="100"/>
    </row>
    <row r="783">
      <c r="E783" s="100"/>
    </row>
    <row r="784">
      <c r="E784" s="100"/>
    </row>
    <row r="785">
      <c r="E785" s="100"/>
    </row>
    <row r="786">
      <c r="E786" s="100"/>
    </row>
    <row r="787">
      <c r="E787" s="100"/>
    </row>
    <row r="788">
      <c r="E788" s="100"/>
    </row>
    <row r="789">
      <c r="E789" s="100"/>
    </row>
    <row r="790">
      <c r="E790" s="100"/>
    </row>
    <row r="791">
      <c r="E791" s="100"/>
    </row>
    <row r="792">
      <c r="E792" s="100"/>
    </row>
    <row r="793">
      <c r="E793" s="100"/>
    </row>
    <row r="794">
      <c r="E794" s="100"/>
    </row>
    <row r="795">
      <c r="E795" s="100"/>
    </row>
    <row r="796">
      <c r="E796" s="100"/>
    </row>
    <row r="797">
      <c r="E797" s="100"/>
    </row>
    <row r="798">
      <c r="E798" s="100"/>
    </row>
    <row r="799">
      <c r="E799" s="100"/>
    </row>
    <row r="800">
      <c r="E800" s="100"/>
    </row>
    <row r="801">
      <c r="E801" s="100"/>
    </row>
    <row r="802">
      <c r="E802" s="100"/>
    </row>
    <row r="803">
      <c r="E803" s="100"/>
    </row>
    <row r="804">
      <c r="E804" s="100"/>
    </row>
    <row r="805">
      <c r="E805" s="100"/>
    </row>
    <row r="806">
      <c r="E806" s="100"/>
    </row>
    <row r="807">
      <c r="E807" s="100"/>
    </row>
    <row r="808">
      <c r="E808" s="100"/>
    </row>
    <row r="809">
      <c r="E809" s="100"/>
    </row>
    <row r="810">
      <c r="E810" s="100"/>
    </row>
    <row r="811">
      <c r="E811" s="100"/>
    </row>
    <row r="812">
      <c r="E812" s="100"/>
    </row>
    <row r="813">
      <c r="E813" s="100"/>
    </row>
    <row r="814">
      <c r="E814" s="100"/>
    </row>
    <row r="815">
      <c r="E815" s="100"/>
    </row>
    <row r="816">
      <c r="E816" s="100"/>
    </row>
    <row r="817">
      <c r="E817" s="100"/>
    </row>
    <row r="818">
      <c r="E818" s="100"/>
    </row>
    <row r="819">
      <c r="E819" s="100"/>
    </row>
    <row r="820">
      <c r="E820" s="100"/>
    </row>
    <row r="821">
      <c r="E821" s="100"/>
    </row>
    <row r="822">
      <c r="E822" s="100"/>
    </row>
    <row r="823">
      <c r="E823" s="100"/>
    </row>
    <row r="824">
      <c r="E824" s="100"/>
    </row>
    <row r="825">
      <c r="E825" s="100"/>
    </row>
    <row r="826">
      <c r="E826" s="100"/>
    </row>
    <row r="827">
      <c r="E827" s="100"/>
    </row>
    <row r="828">
      <c r="E828" s="100"/>
    </row>
    <row r="829">
      <c r="E829" s="100"/>
    </row>
    <row r="830">
      <c r="E830" s="100"/>
    </row>
    <row r="831">
      <c r="E831" s="100"/>
    </row>
    <row r="832">
      <c r="E832" s="100"/>
    </row>
    <row r="833">
      <c r="E833" s="100"/>
    </row>
    <row r="834">
      <c r="E834" s="100"/>
    </row>
    <row r="835">
      <c r="E835" s="100"/>
    </row>
    <row r="836">
      <c r="E836" s="100"/>
    </row>
    <row r="837">
      <c r="E837" s="100"/>
    </row>
    <row r="838">
      <c r="E838" s="100"/>
    </row>
    <row r="839">
      <c r="E839" s="100"/>
    </row>
    <row r="840">
      <c r="E840" s="100"/>
    </row>
    <row r="841">
      <c r="E841" s="100"/>
    </row>
    <row r="842">
      <c r="E842" s="100"/>
    </row>
    <row r="843">
      <c r="E843" s="100"/>
    </row>
    <row r="844">
      <c r="E844" s="100"/>
    </row>
    <row r="845">
      <c r="E845" s="100"/>
    </row>
    <row r="846">
      <c r="E846" s="100"/>
    </row>
    <row r="847">
      <c r="E847" s="100"/>
    </row>
    <row r="848">
      <c r="E848" s="100"/>
    </row>
    <row r="849">
      <c r="E849" s="100"/>
    </row>
    <row r="850">
      <c r="E850" s="100"/>
    </row>
    <row r="851">
      <c r="E851" s="100"/>
    </row>
    <row r="852">
      <c r="E852" s="100"/>
    </row>
    <row r="853">
      <c r="E853" s="100"/>
    </row>
    <row r="854">
      <c r="E854" s="100"/>
    </row>
    <row r="855">
      <c r="E855" s="100"/>
    </row>
    <row r="856">
      <c r="E856" s="100"/>
    </row>
    <row r="857">
      <c r="E857" s="100"/>
    </row>
    <row r="858">
      <c r="E858" s="100"/>
    </row>
    <row r="859">
      <c r="E859" s="100"/>
    </row>
    <row r="860">
      <c r="E860" s="100"/>
    </row>
    <row r="861">
      <c r="E861" s="100"/>
    </row>
    <row r="862">
      <c r="E862" s="100"/>
    </row>
    <row r="863">
      <c r="E863" s="100"/>
    </row>
    <row r="864">
      <c r="E864" s="100"/>
    </row>
    <row r="865">
      <c r="E865" s="100"/>
    </row>
    <row r="866">
      <c r="E866" s="100"/>
    </row>
    <row r="867">
      <c r="E867" s="100"/>
    </row>
    <row r="868">
      <c r="E868" s="100"/>
    </row>
    <row r="869">
      <c r="E869" s="100"/>
    </row>
    <row r="870">
      <c r="E870" s="100"/>
    </row>
    <row r="871">
      <c r="E871" s="100"/>
    </row>
    <row r="872">
      <c r="E872" s="100"/>
    </row>
    <row r="873">
      <c r="E873" s="100"/>
    </row>
    <row r="874">
      <c r="E874" s="100"/>
    </row>
    <row r="875">
      <c r="E875" s="100"/>
    </row>
    <row r="876">
      <c r="E876" s="100"/>
    </row>
    <row r="877">
      <c r="E877" s="100"/>
    </row>
    <row r="878">
      <c r="E878" s="100"/>
    </row>
    <row r="879">
      <c r="E879" s="100"/>
    </row>
    <row r="880">
      <c r="E880" s="100"/>
    </row>
    <row r="881">
      <c r="E881" s="100"/>
    </row>
    <row r="882">
      <c r="E882" s="100"/>
    </row>
    <row r="883">
      <c r="E883" s="100"/>
    </row>
    <row r="884">
      <c r="E884" s="100"/>
    </row>
    <row r="885">
      <c r="E885" s="100"/>
    </row>
    <row r="886">
      <c r="E886" s="100"/>
    </row>
    <row r="887">
      <c r="E887" s="100"/>
    </row>
    <row r="888">
      <c r="E888" s="100"/>
    </row>
    <row r="889">
      <c r="E889" s="100"/>
    </row>
    <row r="890">
      <c r="E890" s="100"/>
    </row>
    <row r="891">
      <c r="E891" s="100"/>
    </row>
    <row r="892">
      <c r="E892" s="100"/>
    </row>
    <row r="893">
      <c r="E893" s="100"/>
    </row>
    <row r="894">
      <c r="E894" s="100"/>
    </row>
    <row r="895">
      <c r="E895" s="100"/>
    </row>
    <row r="896">
      <c r="E896" s="100"/>
    </row>
    <row r="897">
      <c r="E897" s="100"/>
    </row>
    <row r="898">
      <c r="E898" s="100"/>
    </row>
    <row r="899">
      <c r="E899" s="100"/>
    </row>
    <row r="900">
      <c r="E900" s="100"/>
    </row>
    <row r="901">
      <c r="E901" s="100"/>
    </row>
    <row r="902">
      <c r="E902" s="100"/>
    </row>
    <row r="903">
      <c r="E903" s="100"/>
    </row>
    <row r="904">
      <c r="E904" s="100"/>
    </row>
    <row r="905">
      <c r="E905" s="100"/>
    </row>
    <row r="906">
      <c r="E906" s="100"/>
    </row>
    <row r="907">
      <c r="E907" s="100"/>
    </row>
    <row r="908">
      <c r="E908" s="100"/>
    </row>
    <row r="909">
      <c r="E909" s="100"/>
    </row>
    <row r="910">
      <c r="E910" s="100"/>
    </row>
    <row r="911">
      <c r="E911" s="100"/>
    </row>
    <row r="912">
      <c r="E912" s="100"/>
    </row>
    <row r="913">
      <c r="E913" s="100"/>
    </row>
    <row r="914">
      <c r="E914" s="100"/>
    </row>
    <row r="915">
      <c r="E915" s="100"/>
    </row>
    <row r="916">
      <c r="E916" s="100"/>
    </row>
    <row r="917">
      <c r="E917" s="100"/>
    </row>
    <row r="918">
      <c r="E918" s="100"/>
    </row>
    <row r="919">
      <c r="E919" s="100"/>
    </row>
    <row r="920">
      <c r="E920" s="100"/>
    </row>
    <row r="921">
      <c r="E921" s="100"/>
    </row>
    <row r="922">
      <c r="E922" s="100"/>
    </row>
    <row r="923">
      <c r="E923" s="100"/>
    </row>
    <row r="924">
      <c r="E924" s="100"/>
    </row>
    <row r="925">
      <c r="E925" s="100"/>
    </row>
    <row r="926">
      <c r="E926" s="100"/>
    </row>
    <row r="927">
      <c r="E927" s="100"/>
    </row>
    <row r="928">
      <c r="E928" s="100"/>
    </row>
    <row r="929">
      <c r="E929" s="100"/>
    </row>
    <row r="930">
      <c r="E930" s="100"/>
    </row>
    <row r="931">
      <c r="E931" s="100"/>
    </row>
    <row r="932">
      <c r="E932" s="100"/>
    </row>
    <row r="933">
      <c r="E933" s="100"/>
    </row>
    <row r="934">
      <c r="E934" s="100"/>
    </row>
    <row r="935">
      <c r="E935" s="100"/>
    </row>
    <row r="936">
      <c r="E936" s="100"/>
    </row>
    <row r="937">
      <c r="E937" s="100"/>
    </row>
    <row r="938">
      <c r="E938" s="100"/>
    </row>
    <row r="939">
      <c r="E939" s="100"/>
    </row>
    <row r="940">
      <c r="E940" s="100"/>
    </row>
    <row r="941">
      <c r="E941" s="100"/>
    </row>
    <row r="942">
      <c r="E942" s="100"/>
    </row>
    <row r="943">
      <c r="E943" s="100"/>
    </row>
    <row r="944">
      <c r="E944" s="100"/>
    </row>
    <row r="945">
      <c r="E945" s="100"/>
    </row>
    <row r="946">
      <c r="E946" s="100"/>
    </row>
    <row r="947">
      <c r="E947" s="100"/>
    </row>
    <row r="948">
      <c r="E948" s="100"/>
    </row>
    <row r="949">
      <c r="E949" s="100"/>
    </row>
    <row r="950">
      <c r="E950" s="100"/>
    </row>
    <row r="951">
      <c r="E951" s="100"/>
    </row>
    <row r="952">
      <c r="E952" s="100"/>
    </row>
    <row r="953">
      <c r="E953" s="100"/>
    </row>
    <row r="954">
      <c r="E954" s="100"/>
    </row>
    <row r="955">
      <c r="E955" s="100"/>
    </row>
    <row r="956">
      <c r="E956" s="100"/>
    </row>
    <row r="957">
      <c r="E957" s="100"/>
    </row>
    <row r="958">
      <c r="E958" s="100"/>
    </row>
    <row r="959">
      <c r="E959" s="100"/>
    </row>
    <row r="960">
      <c r="E960" s="100"/>
    </row>
    <row r="961">
      <c r="E961" s="100"/>
    </row>
    <row r="962">
      <c r="E962" s="100"/>
    </row>
    <row r="963">
      <c r="E963" s="100"/>
    </row>
    <row r="964">
      <c r="E964" s="100"/>
    </row>
    <row r="965">
      <c r="E965" s="100"/>
    </row>
    <row r="966">
      <c r="E966" s="100"/>
    </row>
    <row r="967">
      <c r="E967" s="100"/>
    </row>
    <row r="968">
      <c r="E968" s="100"/>
    </row>
    <row r="969">
      <c r="E969" s="100"/>
    </row>
    <row r="970">
      <c r="E970" s="100"/>
    </row>
    <row r="971">
      <c r="E971" s="100"/>
    </row>
    <row r="972">
      <c r="E972" s="100"/>
    </row>
    <row r="973">
      <c r="E973" s="100"/>
    </row>
    <row r="974">
      <c r="E974" s="100"/>
    </row>
    <row r="975">
      <c r="E975" s="100"/>
    </row>
    <row r="976">
      <c r="E976" s="100"/>
    </row>
    <row r="977">
      <c r="E977" s="100"/>
    </row>
    <row r="978">
      <c r="E978" s="100"/>
    </row>
    <row r="979">
      <c r="E979" s="100"/>
    </row>
    <row r="980">
      <c r="E980" s="100"/>
    </row>
    <row r="981">
      <c r="E981" s="100"/>
    </row>
    <row r="982">
      <c r="E982" s="100"/>
    </row>
    <row r="983">
      <c r="E983" s="100"/>
    </row>
    <row r="984">
      <c r="E984" s="100"/>
    </row>
    <row r="985">
      <c r="E985" s="100"/>
    </row>
    <row r="986">
      <c r="E986" s="100"/>
    </row>
    <row r="987">
      <c r="E987" s="100"/>
    </row>
    <row r="988">
      <c r="E988" s="100"/>
    </row>
    <row r="989">
      <c r="E989" s="100"/>
    </row>
    <row r="990">
      <c r="E990" s="100"/>
    </row>
    <row r="991">
      <c r="E991" s="100"/>
    </row>
    <row r="992">
      <c r="E992" s="100"/>
    </row>
    <row r="993">
      <c r="E993" s="100"/>
    </row>
    <row r="994">
      <c r="E994" s="100"/>
    </row>
    <row r="995">
      <c r="E995" s="100"/>
    </row>
    <row r="996">
      <c r="E996" s="100"/>
    </row>
    <row r="997">
      <c r="E997" s="100"/>
    </row>
    <row r="998">
      <c r="E998" s="100"/>
    </row>
    <row r="999">
      <c r="E999" s="100"/>
    </row>
    <row r="1000">
      <c r="E1000" s="100"/>
    </row>
    <row r="1001">
      <c r="E1001" s="100"/>
    </row>
    <row r="1002">
      <c r="E1002" s="100"/>
    </row>
    <row r="1003">
      <c r="E1003" s="100"/>
    </row>
  </sheetData>
  <mergeCells count="2">
    <mergeCell ref="A1:J1"/>
    <mergeCell ref="A17:J17"/>
  </mergeCells>
  <conditionalFormatting sqref="G24">
    <cfRule type="cellIs" dxfId="0" priority="1" operator="greaterThan">
      <formula>0</formula>
    </cfRule>
  </conditionalFormatting>
  <conditionalFormatting sqref="G24">
    <cfRule type="cellIs" dxfId="1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13"/>
    <col customWidth="1" min="13" max="13" width="18.5"/>
    <col customWidth="1" min="17" max="17" width="7.13"/>
    <col customWidth="1" min="18" max="18" width="14.25"/>
  </cols>
  <sheetData>
    <row r="1">
      <c r="A1" s="275" t="s">
        <v>189</v>
      </c>
      <c r="B1" s="276"/>
      <c r="C1" s="109"/>
      <c r="D1" s="277"/>
      <c r="E1" s="277"/>
      <c r="F1" s="277"/>
      <c r="G1" s="277"/>
      <c r="H1" s="277"/>
      <c r="I1" s="277"/>
      <c r="J1" s="278" t="s">
        <v>190</v>
      </c>
      <c r="K1" s="109"/>
      <c r="L1" s="109"/>
      <c r="M1" s="109"/>
      <c r="N1" s="109"/>
      <c r="O1" s="109"/>
      <c r="P1" s="109"/>
      <c r="Q1" s="279"/>
      <c r="R1" s="109"/>
      <c r="S1" s="280" t="s">
        <v>191</v>
      </c>
      <c r="T1" s="281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</row>
    <row r="2">
      <c r="A2" s="280" t="s">
        <v>192</v>
      </c>
      <c r="B2" s="280" t="s">
        <v>193</v>
      </c>
      <c r="C2" s="280" t="s">
        <v>194</v>
      </c>
      <c r="D2" s="282" t="s">
        <v>195</v>
      </c>
      <c r="E2" s="282" t="s">
        <v>196</v>
      </c>
      <c r="F2" s="282" t="s">
        <v>197</v>
      </c>
      <c r="G2" s="282" t="s">
        <v>198</v>
      </c>
      <c r="H2" s="282" t="s">
        <v>92</v>
      </c>
      <c r="I2" s="282" t="s">
        <v>199</v>
      </c>
      <c r="J2" s="283">
        <f>TODAY()</f>
        <v>46048</v>
      </c>
      <c r="K2" s="280" t="s">
        <v>200</v>
      </c>
      <c r="L2" s="280" t="s">
        <v>201</v>
      </c>
      <c r="M2" s="280" t="s">
        <v>202</v>
      </c>
      <c r="N2" s="280" t="s">
        <v>203</v>
      </c>
      <c r="O2" s="280" t="s">
        <v>204</v>
      </c>
      <c r="P2" s="284" t="s">
        <v>205</v>
      </c>
      <c r="Q2" s="279"/>
      <c r="R2" s="109"/>
      <c r="S2" s="285" t="s">
        <v>43</v>
      </c>
      <c r="T2" s="286" t="s">
        <v>42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286">
        <v>1.0</v>
      </c>
      <c r="B3" s="287" t="s">
        <v>206</v>
      </c>
      <c r="C3" s="288">
        <v>44292.0</v>
      </c>
      <c r="D3" s="289">
        <v>374.0</v>
      </c>
      <c r="E3" s="289">
        <v>327.0</v>
      </c>
      <c r="F3" s="289">
        <f t="shared" ref="F3:F11" si="1">D3*E3</f>
        <v>122298</v>
      </c>
      <c r="G3" s="289">
        <f>IFERROR(__xludf.DUMMYFUNCTION("GOOGLEFINANCE(""NSE:"" &amp;B3, ""PRICE"")"),224.2)</f>
        <v>224.2</v>
      </c>
      <c r="H3" s="289">
        <f t="shared" ref="H3:H11" si="2">E3*G3</f>
        <v>73313.4</v>
      </c>
      <c r="I3" s="290">
        <f t="shared" ref="I3:I11" si="3">(G3-D3)/D3</f>
        <v>-0.4005347594</v>
      </c>
      <c r="J3" s="286">
        <f t="shared" ref="J3:J11" si="4">$J$2-C3</f>
        <v>1756</v>
      </c>
      <c r="K3" s="285" t="s">
        <v>207</v>
      </c>
      <c r="L3" s="286">
        <v>503.0</v>
      </c>
      <c r="M3" s="290">
        <f t="shared" ref="M3:M11" si="5">(L3-D3)/D3</f>
        <v>0.3449197861</v>
      </c>
      <c r="N3" s="290">
        <f t="shared" ref="N3:N11" si="6">(L3-G3)/G3</f>
        <v>1.24353256</v>
      </c>
      <c r="O3" s="291">
        <f t="shared" ref="O3:O11" si="7">E3*L3</f>
        <v>164481</v>
      </c>
      <c r="P3" s="292" t="str">
        <f>IFERROR(__xludf.DUMMYFUNCTION("SPARKLINE(GOOGLEFINANCE(B3,""price"",today()-365,today()))"),"")</f>
        <v/>
      </c>
      <c r="Q3" s="279"/>
      <c r="R3" s="109"/>
      <c r="S3" s="288">
        <v>44105.0</v>
      </c>
      <c r="T3" s="289">
        <v>-300000.0</v>
      </c>
      <c r="U3" s="285" t="s">
        <v>208</v>
      </c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286">
        <v>2.0</v>
      </c>
      <c r="B4" s="285" t="s">
        <v>209</v>
      </c>
      <c r="C4" s="288">
        <v>44293.0</v>
      </c>
      <c r="D4" s="289">
        <v>2495.0</v>
      </c>
      <c r="E4" s="289">
        <v>44.0</v>
      </c>
      <c r="F4" s="289">
        <f t="shared" si="1"/>
        <v>109780</v>
      </c>
      <c r="G4" s="289">
        <f>IFERROR(__xludf.DUMMYFUNCTION("GOOGLEFINANCE(""NSE:"" &amp;B4, ""PRICE"")"),915.8)</f>
        <v>915.8</v>
      </c>
      <c r="H4" s="289">
        <f t="shared" si="2"/>
        <v>40295.2</v>
      </c>
      <c r="I4" s="290">
        <f t="shared" si="3"/>
        <v>-0.6329458918</v>
      </c>
      <c r="J4" s="286">
        <f t="shared" si="4"/>
        <v>1755</v>
      </c>
      <c r="K4" s="285" t="s">
        <v>207</v>
      </c>
      <c r="L4" s="286">
        <f t="shared" ref="L4:L11" si="8">D4*1.4</f>
        <v>3493</v>
      </c>
      <c r="M4" s="290">
        <f t="shared" si="5"/>
        <v>0.4</v>
      </c>
      <c r="N4" s="290">
        <f t="shared" si="6"/>
        <v>2.814151561</v>
      </c>
      <c r="O4" s="291">
        <f t="shared" si="7"/>
        <v>153692</v>
      </c>
      <c r="P4" s="292" t="str">
        <f>IFERROR(__xludf.DUMMYFUNCTION("SPARKLINE(GOOGLEFINANCE(B4,""price"",today()-365,today()))"),"")</f>
        <v/>
      </c>
      <c r="Q4" s="279"/>
      <c r="R4" s="109"/>
      <c r="S4" s="288">
        <v>44136.0</v>
      </c>
      <c r="T4" s="289">
        <v>-200000.0</v>
      </c>
      <c r="U4" s="285" t="s">
        <v>208</v>
      </c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286">
        <v>3.0</v>
      </c>
      <c r="B5" s="287" t="s">
        <v>210</v>
      </c>
      <c r="C5" s="288">
        <v>44294.0</v>
      </c>
      <c r="D5" s="289">
        <v>712.0</v>
      </c>
      <c r="E5" s="289">
        <v>234.0</v>
      </c>
      <c r="F5" s="289">
        <f t="shared" si="1"/>
        <v>166608</v>
      </c>
      <c r="G5" s="289">
        <f>IFERROR(__xludf.DUMMYFUNCTION("GOOGLEFINANCE(""NSE:"" &amp;B5, ""PRICE"")"),370.05)</f>
        <v>370.05</v>
      </c>
      <c r="H5" s="289">
        <f t="shared" si="2"/>
        <v>86591.7</v>
      </c>
      <c r="I5" s="290">
        <f t="shared" si="3"/>
        <v>-0.4802668539</v>
      </c>
      <c r="J5" s="286">
        <f t="shared" si="4"/>
        <v>1754</v>
      </c>
      <c r="K5" s="285" t="s">
        <v>207</v>
      </c>
      <c r="L5" s="286">
        <f t="shared" si="8"/>
        <v>996.8</v>
      </c>
      <c r="M5" s="290">
        <f t="shared" si="5"/>
        <v>0.4</v>
      </c>
      <c r="N5" s="290">
        <f t="shared" si="6"/>
        <v>1.693690042</v>
      </c>
      <c r="O5" s="291">
        <f t="shared" si="7"/>
        <v>233251.2</v>
      </c>
      <c r="P5" s="292" t="str">
        <f>IFERROR(__xludf.DUMMYFUNCTION("SPARKLINE(GOOGLEFINANCE(B5,""price"",today()-365,today()))"),"")</f>
        <v/>
      </c>
      <c r="Q5" s="279"/>
      <c r="R5" s="109"/>
      <c r="S5" s="288">
        <v>44166.0</v>
      </c>
      <c r="T5" s="289">
        <v>-100000.0</v>
      </c>
      <c r="U5" s="285" t="s">
        <v>208</v>
      </c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>
      <c r="A6" s="286">
        <v>4.0</v>
      </c>
      <c r="B6" s="287" t="s">
        <v>211</v>
      </c>
      <c r="C6" s="288">
        <v>44313.0</v>
      </c>
      <c r="D6" s="289">
        <v>2903.0</v>
      </c>
      <c r="E6" s="289">
        <v>41.0</v>
      </c>
      <c r="F6" s="289">
        <f t="shared" si="1"/>
        <v>119023</v>
      </c>
      <c r="G6" s="289">
        <f>IFERROR(__xludf.DUMMYFUNCTION("GOOGLEFINANCE(""NSE:"" &amp;B6, ""PRICE"")"),5388.0)</f>
        <v>5388</v>
      </c>
      <c r="H6" s="289">
        <f t="shared" si="2"/>
        <v>220908</v>
      </c>
      <c r="I6" s="290">
        <f t="shared" si="3"/>
        <v>0.8560110231</v>
      </c>
      <c r="J6" s="286">
        <f t="shared" si="4"/>
        <v>1735</v>
      </c>
      <c r="K6" s="285" t="s">
        <v>207</v>
      </c>
      <c r="L6" s="286">
        <f t="shared" si="8"/>
        <v>4064.2</v>
      </c>
      <c r="M6" s="290">
        <f t="shared" si="5"/>
        <v>0.4</v>
      </c>
      <c r="N6" s="293">
        <f t="shared" si="6"/>
        <v>-0.2456941351</v>
      </c>
      <c r="O6" s="291">
        <f t="shared" si="7"/>
        <v>166632.2</v>
      </c>
      <c r="P6" s="292" t="str">
        <f>IFERROR(__xludf.DUMMYFUNCTION("SPARKLINE(GOOGLEFINANCE(B6,""price"",today()-365,today()))"),"")</f>
        <v/>
      </c>
      <c r="Q6" s="279"/>
      <c r="R6" s="109"/>
      <c r="S6" s="288">
        <v>44313.0</v>
      </c>
      <c r="T6" s="289">
        <v>-108000.0</v>
      </c>
      <c r="U6" s="285" t="s">
        <v>208</v>
      </c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>
      <c r="A7" s="286">
        <v>5.0</v>
      </c>
      <c r="B7" s="285" t="s">
        <v>212</v>
      </c>
      <c r="C7" s="288">
        <v>44314.0</v>
      </c>
      <c r="D7" s="289">
        <v>814.0</v>
      </c>
      <c r="E7" s="289">
        <v>149.0</v>
      </c>
      <c r="F7" s="289">
        <f t="shared" si="1"/>
        <v>121286</v>
      </c>
      <c r="G7" s="289">
        <f>IFERROR(__xludf.DUMMYFUNCTION("GOOGLEFINANCE(""NSE:"" &amp;B7, ""PRICE"")"),826.85)</f>
        <v>826.85</v>
      </c>
      <c r="H7" s="289">
        <f t="shared" si="2"/>
        <v>123200.65</v>
      </c>
      <c r="I7" s="290">
        <f t="shared" si="3"/>
        <v>0.01578624079</v>
      </c>
      <c r="J7" s="286">
        <f t="shared" si="4"/>
        <v>1734</v>
      </c>
      <c r="K7" s="285" t="s">
        <v>207</v>
      </c>
      <c r="L7" s="286">
        <f t="shared" si="8"/>
        <v>1139.6</v>
      </c>
      <c r="M7" s="290">
        <f t="shared" si="5"/>
        <v>0.4</v>
      </c>
      <c r="N7" s="293">
        <f t="shared" si="6"/>
        <v>0.3782427284</v>
      </c>
      <c r="O7" s="291">
        <f t="shared" si="7"/>
        <v>169800.4</v>
      </c>
      <c r="P7" s="292" t="str">
        <f>IFERROR(__xludf.DUMMYFUNCTION("SPARKLINE(GOOGLEFINANCE(B7,""price"",today()-365,today()))"),"")</f>
        <v/>
      </c>
      <c r="Q7" s="279"/>
      <c r="R7" s="109"/>
      <c r="S7" s="294"/>
      <c r="T7" s="277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>
      <c r="A8" s="286">
        <v>6.0</v>
      </c>
      <c r="B8" s="287" t="s">
        <v>213</v>
      </c>
      <c r="C8" s="288">
        <v>44315.0</v>
      </c>
      <c r="D8" s="289">
        <v>2171.0</v>
      </c>
      <c r="E8" s="289">
        <v>51.0</v>
      </c>
      <c r="F8" s="289">
        <f t="shared" si="1"/>
        <v>110721</v>
      </c>
      <c r="G8" s="289">
        <f>IFERROR(__xludf.DUMMYFUNCTION("GOOGLEFINANCE(""NSE:"" &amp;B8, ""PRICE"")"),796.15)</f>
        <v>796.15</v>
      </c>
      <c r="H8" s="289">
        <f t="shared" si="2"/>
        <v>40603.65</v>
      </c>
      <c r="I8" s="290">
        <f t="shared" si="3"/>
        <v>-0.6332795947</v>
      </c>
      <c r="J8" s="286">
        <f t="shared" si="4"/>
        <v>1733</v>
      </c>
      <c r="K8" s="285" t="s">
        <v>214</v>
      </c>
      <c r="L8" s="286">
        <f t="shared" si="8"/>
        <v>3039.4</v>
      </c>
      <c r="M8" s="290">
        <f t="shared" si="5"/>
        <v>0.4</v>
      </c>
      <c r="N8" s="290">
        <f t="shared" si="6"/>
        <v>2.817622307</v>
      </c>
      <c r="O8" s="291">
        <f t="shared" si="7"/>
        <v>155009.4</v>
      </c>
      <c r="P8" s="292" t="str">
        <f>IFERROR(__xludf.DUMMYFUNCTION("SPARKLINE(GOOGLEFINANCE(B8,""price"",today()-365,today()))"),"")</f>
        <v/>
      </c>
      <c r="Q8" s="279"/>
      <c r="R8" s="285" t="s">
        <v>215</v>
      </c>
      <c r="S8" s="288">
        <f>today()</f>
        <v>46048</v>
      </c>
      <c r="T8" s="289">
        <f>H13</f>
        <v>2285057</v>
      </c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>
      <c r="A9" s="286">
        <v>7.0</v>
      </c>
      <c r="B9" s="287" t="s">
        <v>216</v>
      </c>
      <c r="C9" s="288">
        <v>44316.0</v>
      </c>
      <c r="D9" s="289">
        <v>657.0</v>
      </c>
      <c r="E9" s="289">
        <v>176.0</v>
      </c>
      <c r="F9" s="289">
        <f t="shared" si="1"/>
        <v>115632</v>
      </c>
      <c r="G9" s="289">
        <f>IFERROR(__xludf.DUMMYFUNCTION("GOOGLEFINANCE(""NSE:"" &amp;B9, ""PRICE"")"),749.4)</f>
        <v>749.4</v>
      </c>
      <c r="H9" s="289">
        <f t="shared" si="2"/>
        <v>131894.4</v>
      </c>
      <c r="I9" s="290">
        <f t="shared" si="3"/>
        <v>0.1406392694</v>
      </c>
      <c r="J9" s="286">
        <f t="shared" si="4"/>
        <v>1732</v>
      </c>
      <c r="K9" s="285" t="s">
        <v>214</v>
      </c>
      <c r="L9" s="286">
        <f t="shared" si="8"/>
        <v>919.8</v>
      </c>
      <c r="M9" s="290">
        <f t="shared" si="5"/>
        <v>0.4</v>
      </c>
      <c r="N9" s="290">
        <f t="shared" si="6"/>
        <v>0.2273819055</v>
      </c>
      <c r="O9" s="291">
        <f t="shared" si="7"/>
        <v>161884.8</v>
      </c>
      <c r="P9" s="292" t="str">
        <f>IFERROR(__xludf.DUMMYFUNCTION("SPARKLINE(GOOGLEFINANCE(B9,""price"",today()-365,today()))"),"")</f>
        <v/>
      </c>
      <c r="Q9" s="27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>
      <c r="A10" s="286">
        <v>8.0</v>
      </c>
      <c r="B10" s="295" t="s">
        <v>217</v>
      </c>
      <c r="C10" s="288">
        <v>44321.0</v>
      </c>
      <c r="D10" s="289">
        <v>535.0</v>
      </c>
      <c r="E10" s="289">
        <v>225.0</v>
      </c>
      <c r="F10" s="289">
        <f t="shared" si="1"/>
        <v>120375</v>
      </c>
      <c r="G10" s="289">
        <f>IFERROR(__xludf.DUMMYFUNCTION("GOOGLEFINANCE(""NSE:"" &amp;B10, ""PRICE"")"),6970.0)</f>
        <v>6970</v>
      </c>
      <c r="H10" s="289">
        <f t="shared" si="2"/>
        <v>1568250</v>
      </c>
      <c r="I10" s="290">
        <f t="shared" si="3"/>
        <v>12.02803738</v>
      </c>
      <c r="J10" s="286">
        <f t="shared" si="4"/>
        <v>1727</v>
      </c>
      <c r="K10" s="285" t="s">
        <v>214</v>
      </c>
      <c r="L10" s="286">
        <f t="shared" si="8"/>
        <v>749</v>
      </c>
      <c r="M10" s="290">
        <f t="shared" si="5"/>
        <v>0.4</v>
      </c>
      <c r="N10" s="290">
        <f t="shared" si="6"/>
        <v>-0.8925394548</v>
      </c>
      <c r="O10" s="291">
        <f t="shared" si="7"/>
        <v>168525</v>
      </c>
      <c r="P10" s="292" t="str">
        <f>IFERROR(__xludf.DUMMYFUNCTION("SPARKLINE(GOOGLEFINANCE(B10,""price"",today()-365,today()))"),"")</f>
        <v/>
      </c>
      <c r="Q10" s="279"/>
      <c r="R10" s="109"/>
      <c r="S10" s="285" t="s">
        <v>208</v>
      </c>
      <c r="T10" s="289">
        <f>-sum(T3:T7)</f>
        <v>708000</v>
      </c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>
      <c r="A11" s="296">
        <v>9.0</v>
      </c>
      <c r="B11" s="285" t="s">
        <v>218</v>
      </c>
      <c r="C11" s="297">
        <v>44426.0</v>
      </c>
      <c r="D11" s="289">
        <v>1300.0</v>
      </c>
      <c r="E11" s="289">
        <v>100.0</v>
      </c>
      <c r="F11" s="289">
        <f t="shared" si="1"/>
        <v>130000</v>
      </c>
      <c r="G11" s="289">
        <f>IFERROR(__xludf.DUMMYFUNCTION("GOOGLEFINANCE(""NSE:"" &amp;B11, ""PRICE"")"),2158.0)</f>
        <v>2158</v>
      </c>
      <c r="H11" s="289">
        <f t="shared" si="2"/>
        <v>215800</v>
      </c>
      <c r="I11" s="290">
        <f t="shared" si="3"/>
        <v>0.66</v>
      </c>
      <c r="J11" s="286">
        <f t="shared" si="4"/>
        <v>1622</v>
      </c>
      <c r="K11" s="285" t="s">
        <v>214</v>
      </c>
      <c r="L11" s="286">
        <f t="shared" si="8"/>
        <v>1820</v>
      </c>
      <c r="M11" s="290">
        <f t="shared" si="5"/>
        <v>0.4</v>
      </c>
      <c r="N11" s="293">
        <f t="shared" si="6"/>
        <v>-0.156626506</v>
      </c>
      <c r="O11" s="291">
        <f t="shared" si="7"/>
        <v>182000</v>
      </c>
      <c r="P11" s="292" t="str">
        <f>IFERROR(__xludf.DUMMYFUNCTION("SPARKLINE(GOOGLEFINANCE(B11,""price"",today()-365,today()))"),"")</f>
        <v/>
      </c>
      <c r="Q11" s="279"/>
      <c r="R11" s="109"/>
      <c r="S11" s="285" t="s">
        <v>14</v>
      </c>
      <c r="T11" s="289">
        <f>T8-T10</f>
        <v>1577057</v>
      </c>
      <c r="U11" s="298">
        <f>T11/T10</f>
        <v>2.227481638</v>
      </c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>
      <c r="A12" s="109"/>
      <c r="B12" s="299"/>
      <c r="C12" s="109"/>
      <c r="D12" s="277"/>
      <c r="E12" s="277"/>
      <c r="F12" s="277"/>
      <c r="G12" s="277"/>
      <c r="H12" s="109"/>
      <c r="I12" s="109"/>
      <c r="J12" s="109"/>
      <c r="K12" s="109"/>
      <c r="L12" s="109"/>
      <c r="M12" s="109"/>
      <c r="N12" s="109"/>
      <c r="O12" s="109"/>
      <c r="P12" s="109"/>
      <c r="Q12" s="27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>
      <c r="A13" s="300"/>
      <c r="B13" s="301" t="s">
        <v>219</v>
      </c>
      <c r="C13" s="300"/>
      <c r="D13" s="302"/>
      <c r="E13" s="302"/>
      <c r="F13" s="303">
        <f>sum(F3:F10)</f>
        <v>985723</v>
      </c>
      <c r="G13" s="302"/>
      <c r="H13" s="303">
        <f>sum(H3:H10)</f>
        <v>2285057</v>
      </c>
      <c r="I13" s="302"/>
      <c r="J13" s="300"/>
      <c r="K13" s="300"/>
      <c r="L13" s="300"/>
      <c r="M13" s="300"/>
      <c r="N13" s="300"/>
      <c r="O13" s="303">
        <f>sum(O3:O12)</f>
        <v>1555276</v>
      </c>
      <c r="P13" s="303"/>
      <c r="Q13" s="279"/>
      <c r="R13" s="109"/>
      <c r="S13" s="285" t="s">
        <v>220</v>
      </c>
      <c r="T13" s="304">
        <f>xirr(T3:T8,S3:S8)</f>
        <v>0.2531194031</v>
      </c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300"/>
      <c r="B14" s="300"/>
      <c r="C14" s="300"/>
      <c r="D14" s="302"/>
      <c r="E14" s="302"/>
      <c r="F14" s="305" t="s">
        <v>221</v>
      </c>
      <c r="G14" s="302"/>
      <c r="H14" s="303">
        <f>H13-F13</f>
        <v>1299334</v>
      </c>
      <c r="I14" s="306">
        <f>H14/H13</f>
        <v>0.5686221394</v>
      </c>
      <c r="J14" s="300"/>
      <c r="K14" s="300"/>
      <c r="L14" s="300"/>
      <c r="M14" s="300"/>
      <c r="N14" s="300"/>
      <c r="O14" s="300"/>
      <c r="P14" s="300"/>
      <c r="Q14" s="27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109"/>
      <c r="B15" s="294"/>
      <c r="C15" s="109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109"/>
      <c r="O15" s="109"/>
      <c r="P15" s="109"/>
      <c r="Q15" s="27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275" t="s">
        <v>222</v>
      </c>
      <c r="B16" s="307"/>
      <c r="C16" s="109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109"/>
      <c r="O16" s="109"/>
      <c r="P16" s="109"/>
      <c r="Q16" s="27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280" t="s">
        <v>192</v>
      </c>
      <c r="B17" s="308" t="s">
        <v>193</v>
      </c>
      <c r="C17" s="280" t="s">
        <v>194</v>
      </c>
      <c r="D17" s="282" t="s">
        <v>223</v>
      </c>
      <c r="E17" s="282" t="s">
        <v>196</v>
      </c>
      <c r="F17" s="282" t="s">
        <v>197</v>
      </c>
      <c r="G17" s="282" t="s">
        <v>224</v>
      </c>
      <c r="H17" s="282" t="s">
        <v>225</v>
      </c>
      <c r="I17" s="282" t="s">
        <v>226</v>
      </c>
      <c r="J17" s="282" t="s">
        <v>227</v>
      </c>
      <c r="K17" s="282" t="s">
        <v>190</v>
      </c>
      <c r="L17" s="282" t="s">
        <v>199</v>
      </c>
      <c r="M17" s="282" t="s">
        <v>228</v>
      </c>
      <c r="N17" s="284" t="s">
        <v>205</v>
      </c>
      <c r="O17" s="109"/>
      <c r="P17" s="109"/>
      <c r="Q17" s="27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>
      <c r="A18" s="286">
        <v>1.0</v>
      </c>
      <c r="B18" s="287" t="s">
        <v>229</v>
      </c>
      <c r="C18" s="288">
        <v>44111.0</v>
      </c>
      <c r="D18" s="289">
        <v>1343.0</v>
      </c>
      <c r="E18" s="289">
        <v>74.0</v>
      </c>
      <c r="F18" s="289">
        <f t="shared" ref="F18:F34" si="9">D18*E18</f>
        <v>99382</v>
      </c>
      <c r="G18" s="288">
        <v>44139.0</v>
      </c>
      <c r="H18" s="289">
        <v>1630.0</v>
      </c>
      <c r="I18" s="289">
        <f t="shared" ref="I18:I34" si="10">E18*H18</f>
        <v>120620</v>
      </c>
      <c r="J18" s="289">
        <f t="shared" ref="J18:J34" si="11">I18-F18</f>
        <v>21238</v>
      </c>
      <c r="K18" s="289">
        <f t="shared" ref="K18:K34" si="12">G18-C18</f>
        <v>28</v>
      </c>
      <c r="L18" s="304">
        <f t="shared" ref="L18:L34" si="13">J18/F18</f>
        <v>0.2137006701</v>
      </c>
      <c r="M18" s="304">
        <f t="shared" ref="M18:M34" si="14">L18/K18*365</f>
        <v>2.785740879</v>
      </c>
      <c r="N18" s="153" t="str">
        <f>IFERROR(__xludf.DUMMYFUNCTION("SPARKLINE(GOOGLEFINANCE(B18,""price"",today()-365,today()))"),"")</f>
        <v/>
      </c>
      <c r="O18" s="109"/>
      <c r="P18" s="109"/>
      <c r="Q18" s="27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>
      <c r="A19" s="286">
        <v>2.0</v>
      </c>
      <c r="B19" s="295" t="s">
        <v>230</v>
      </c>
      <c r="C19" s="288">
        <v>44141.0</v>
      </c>
      <c r="D19" s="289">
        <v>1935.0</v>
      </c>
      <c r="E19" s="289">
        <v>52.0</v>
      </c>
      <c r="F19" s="289">
        <f t="shared" si="9"/>
        <v>100620</v>
      </c>
      <c r="G19" s="288">
        <v>44196.0</v>
      </c>
      <c r="H19" s="289">
        <v>2415.0</v>
      </c>
      <c r="I19" s="289">
        <f t="shared" si="10"/>
        <v>125580</v>
      </c>
      <c r="J19" s="289">
        <f t="shared" si="11"/>
        <v>24960</v>
      </c>
      <c r="K19" s="289">
        <f t="shared" si="12"/>
        <v>55</v>
      </c>
      <c r="L19" s="304">
        <f t="shared" si="13"/>
        <v>0.2480620155</v>
      </c>
      <c r="M19" s="304">
        <f t="shared" si="14"/>
        <v>1.646229739</v>
      </c>
      <c r="N19" s="153" t="str">
        <f>IFERROR(__xludf.DUMMYFUNCTION("SPARKLINE(GOOGLEFINANCE(B19,""price"",today()-365,today()))"),"")</f>
        <v/>
      </c>
      <c r="O19" s="109"/>
      <c r="P19" s="109"/>
      <c r="Q19" s="27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>
      <c r="A20" s="286">
        <v>3.0</v>
      </c>
      <c r="B20" s="295" t="s">
        <v>231</v>
      </c>
      <c r="C20" s="288">
        <v>44154.0</v>
      </c>
      <c r="D20" s="289">
        <v>2878.0</v>
      </c>
      <c r="E20" s="289">
        <v>35.0</v>
      </c>
      <c r="F20" s="289">
        <f t="shared" si="9"/>
        <v>100730</v>
      </c>
      <c r="G20" s="288">
        <v>44252.0</v>
      </c>
      <c r="H20" s="289">
        <v>3740.0</v>
      </c>
      <c r="I20" s="289">
        <f t="shared" si="10"/>
        <v>130900</v>
      </c>
      <c r="J20" s="289">
        <f t="shared" si="11"/>
        <v>30170</v>
      </c>
      <c r="K20" s="289">
        <f t="shared" si="12"/>
        <v>98</v>
      </c>
      <c r="L20" s="304">
        <f t="shared" si="13"/>
        <v>0.2995135511</v>
      </c>
      <c r="M20" s="304">
        <f t="shared" si="14"/>
        <v>1.115535165</v>
      </c>
      <c r="N20" s="153" t="str">
        <f>IFERROR(__xludf.DUMMYFUNCTION("SPARKLINE(GOOGLEFINANCE(B20,""price"",today()-365,today()))"),"")</f>
        <v/>
      </c>
      <c r="O20" s="109"/>
      <c r="P20" s="109"/>
      <c r="Q20" s="27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>
      <c r="A21" s="286">
        <v>4.0</v>
      </c>
      <c r="B21" s="295" t="s">
        <v>232</v>
      </c>
      <c r="C21" s="288">
        <v>44105.0</v>
      </c>
      <c r="D21" s="289">
        <v>6007.0</v>
      </c>
      <c r="E21" s="289">
        <v>17.0</v>
      </c>
      <c r="F21" s="289">
        <f t="shared" si="9"/>
        <v>102119</v>
      </c>
      <c r="G21" s="288">
        <v>44158.0</v>
      </c>
      <c r="H21" s="289">
        <v>8760.0</v>
      </c>
      <c r="I21" s="289">
        <f t="shared" si="10"/>
        <v>148920</v>
      </c>
      <c r="J21" s="289">
        <f t="shared" si="11"/>
        <v>46801</v>
      </c>
      <c r="K21" s="289">
        <f t="shared" si="12"/>
        <v>53</v>
      </c>
      <c r="L21" s="304">
        <f t="shared" si="13"/>
        <v>0.4582986516</v>
      </c>
      <c r="M21" s="304">
        <f t="shared" si="14"/>
        <v>3.156207695</v>
      </c>
      <c r="N21" s="153" t="str">
        <f>IFERROR(__xludf.DUMMYFUNCTION("SPARKLINE(GOOGLEFINANCE(B21,""price"",today()-365,today()))"),"")</f>
        <v/>
      </c>
      <c r="O21" s="109"/>
      <c r="P21" s="109"/>
      <c r="Q21" s="27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>
      <c r="A22" s="286">
        <v>5.0</v>
      </c>
      <c r="B22" s="295" t="s">
        <v>233</v>
      </c>
      <c r="C22" s="288">
        <v>44153.0</v>
      </c>
      <c r="D22" s="289">
        <v>1310.0</v>
      </c>
      <c r="E22" s="289">
        <v>76.0</v>
      </c>
      <c r="F22" s="289">
        <f t="shared" si="9"/>
        <v>99560</v>
      </c>
      <c r="G22" s="288">
        <v>44161.0</v>
      </c>
      <c r="H22" s="289">
        <v>1440.0</v>
      </c>
      <c r="I22" s="289">
        <f t="shared" si="10"/>
        <v>109440</v>
      </c>
      <c r="J22" s="289">
        <f t="shared" si="11"/>
        <v>9880</v>
      </c>
      <c r="K22" s="289">
        <f t="shared" si="12"/>
        <v>8</v>
      </c>
      <c r="L22" s="304">
        <f t="shared" si="13"/>
        <v>0.09923664122</v>
      </c>
      <c r="M22" s="304">
        <f t="shared" si="14"/>
        <v>4.527671756</v>
      </c>
      <c r="N22" s="153" t="str">
        <f>IFERROR(__xludf.DUMMYFUNCTION("SPARKLINE(GOOGLEFINANCE(B22,""price"",today()-365,today()))"),"")</f>
        <v/>
      </c>
      <c r="O22" s="109"/>
      <c r="P22" s="109"/>
      <c r="Q22" s="27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>
      <c r="A23" s="286">
        <v>6.0</v>
      </c>
      <c r="B23" s="287" t="s">
        <v>234</v>
      </c>
      <c r="C23" s="288">
        <v>44167.0</v>
      </c>
      <c r="D23" s="289">
        <v>23150.0</v>
      </c>
      <c r="E23" s="289">
        <v>4.0</v>
      </c>
      <c r="F23" s="289">
        <f t="shared" si="9"/>
        <v>92600</v>
      </c>
      <c r="G23" s="288">
        <v>44186.0</v>
      </c>
      <c r="H23" s="289">
        <v>28000.0</v>
      </c>
      <c r="I23" s="289">
        <f t="shared" si="10"/>
        <v>112000</v>
      </c>
      <c r="J23" s="289">
        <f t="shared" si="11"/>
        <v>19400</v>
      </c>
      <c r="K23" s="289">
        <f t="shared" si="12"/>
        <v>19</v>
      </c>
      <c r="L23" s="304">
        <f t="shared" si="13"/>
        <v>0.2095032397</v>
      </c>
      <c r="M23" s="304">
        <f t="shared" si="14"/>
        <v>4.0246675</v>
      </c>
      <c r="N23" s="153" t="str">
        <f>IFERROR(__xludf.DUMMYFUNCTION("SPARKLINE(GOOGLEFINANCE(B23,""price"",today()-365,today()))"),"")</f>
        <v/>
      </c>
      <c r="O23" s="109"/>
      <c r="P23" s="109"/>
      <c r="Q23" s="27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>
      <c r="A24" s="286">
        <v>7.0</v>
      </c>
      <c r="B24" s="287" t="s">
        <v>235</v>
      </c>
      <c r="C24" s="288">
        <v>44168.0</v>
      </c>
      <c r="D24" s="289">
        <v>865.0</v>
      </c>
      <c r="E24" s="289">
        <v>116.0</v>
      </c>
      <c r="F24" s="289">
        <f t="shared" si="9"/>
        <v>100340</v>
      </c>
      <c r="G24" s="288">
        <v>44208.0</v>
      </c>
      <c r="H24" s="289">
        <v>1090.0</v>
      </c>
      <c r="I24" s="289">
        <f t="shared" si="10"/>
        <v>126440</v>
      </c>
      <c r="J24" s="289">
        <f t="shared" si="11"/>
        <v>26100</v>
      </c>
      <c r="K24" s="289">
        <f t="shared" si="12"/>
        <v>40</v>
      </c>
      <c r="L24" s="304">
        <f t="shared" si="13"/>
        <v>0.2601156069</v>
      </c>
      <c r="M24" s="304">
        <f t="shared" si="14"/>
        <v>2.373554913</v>
      </c>
      <c r="N24" s="153" t="str">
        <f>IFERROR(__xludf.DUMMYFUNCTION("SPARKLINE(GOOGLEFINANCE(B24,""price"",today()-365,today()))"),"")</f>
        <v/>
      </c>
      <c r="O24" s="109"/>
      <c r="P24" s="109"/>
      <c r="Q24" s="27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>
      <c r="A25" s="286">
        <v>8.0</v>
      </c>
      <c r="B25" s="287" t="s">
        <v>236</v>
      </c>
      <c r="C25" s="288">
        <v>44186.0</v>
      </c>
      <c r="D25" s="289">
        <v>11750.0</v>
      </c>
      <c r="E25" s="289">
        <v>9.0</v>
      </c>
      <c r="F25" s="289">
        <f t="shared" si="9"/>
        <v>105750</v>
      </c>
      <c r="G25" s="288">
        <v>44231.0</v>
      </c>
      <c r="H25" s="289">
        <v>13100.0</v>
      </c>
      <c r="I25" s="289">
        <f t="shared" si="10"/>
        <v>117900</v>
      </c>
      <c r="J25" s="289">
        <f t="shared" si="11"/>
        <v>12150</v>
      </c>
      <c r="K25" s="289">
        <f t="shared" si="12"/>
        <v>45</v>
      </c>
      <c r="L25" s="304">
        <f t="shared" si="13"/>
        <v>0.114893617</v>
      </c>
      <c r="M25" s="304">
        <f t="shared" si="14"/>
        <v>0.9319148936</v>
      </c>
      <c r="N25" s="153" t="str">
        <f>IFERROR(__xludf.DUMMYFUNCTION("SPARKLINE(GOOGLEFINANCE(B25,""price"",today()-365,today()))"),"")</f>
        <v/>
      </c>
      <c r="O25" s="109"/>
      <c r="P25" s="109"/>
      <c r="Q25" s="27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>
      <c r="A26" s="286">
        <v>9.0</v>
      </c>
      <c r="B26" s="287" t="s">
        <v>237</v>
      </c>
      <c r="C26" s="288">
        <v>44187.0</v>
      </c>
      <c r="D26" s="289">
        <v>2150.0</v>
      </c>
      <c r="E26" s="289">
        <v>47.0</v>
      </c>
      <c r="F26" s="289">
        <f t="shared" si="9"/>
        <v>101050</v>
      </c>
      <c r="G26" s="288">
        <v>44193.0</v>
      </c>
      <c r="H26" s="289">
        <v>2600.0</v>
      </c>
      <c r="I26" s="289">
        <f t="shared" si="10"/>
        <v>122200</v>
      </c>
      <c r="J26" s="289">
        <f t="shared" si="11"/>
        <v>21150</v>
      </c>
      <c r="K26" s="289">
        <f t="shared" si="12"/>
        <v>6</v>
      </c>
      <c r="L26" s="304">
        <f t="shared" si="13"/>
        <v>0.2093023256</v>
      </c>
      <c r="M26" s="304">
        <f t="shared" si="14"/>
        <v>12.73255814</v>
      </c>
      <c r="N26" s="153" t="str">
        <f>IFERROR(__xludf.DUMMYFUNCTION("SPARKLINE(GOOGLEFINANCE(B26,""price"",today()-365,today()))"),"#N/A")</f>
        <v>#N/A</v>
      </c>
      <c r="O26" s="109"/>
      <c r="P26" s="109"/>
      <c r="Q26" s="27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>
      <c r="A27" s="286">
        <v>10.0</v>
      </c>
      <c r="B27" s="287" t="s">
        <v>238</v>
      </c>
      <c r="C27" s="288">
        <v>44194.0</v>
      </c>
      <c r="D27" s="289">
        <v>11000.0</v>
      </c>
      <c r="E27" s="289">
        <v>9.0</v>
      </c>
      <c r="F27" s="289">
        <f t="shared" si="9"/>
        <v>99000</v>
      </c>
      <c r="G27" s="288">
        <v>44231.0</v>
      </c>
      <c r="H27" s="289">
        <v>12200.0</v>
      </c>
      <c r="I27" s="289">
        <f t="shared" si="10"/>
        <v>109800</v>
      </c>
      <c r="J27" s="289">
        <f t="shared" si="11"/>
        <v>10800</v>
      </c>
      <c r="K27" s="289">
        <f t="shared" si="12"/>
        <v>37</v>
      </c>
      <c r="L27" s="304">
        <f t="shared" si="13"/>
        <v>0.1090909091</v>
      </c>
      <c r="M27" s="304">
        <f t="shared" si="14"/>
        <v>1.076167076</v>
      </c>
      <c r="N27" s="153" t="str">
        <f>IFERROR(__xludf.DUMMYFUNCTION("SPARKLINE(GOOGLEFINANCE(B27,""price"",today()-365,today()))"),"")</f>
        <v/>
      </c>
      <c r="O27" s="109"/>
      <c r="P27" s="109"/>
      <c r="Q27" s="27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>
      <c r="A28" s="286">
        <v>11.0</v>
      </c>
      <c r="B28" s="295" t="s">
        <v>239</v>
      </c>
      <c r="C28" s="288">
        <v>44202.0</v>
      </c>
      <c r="D28" s="289">
        <v>14.2</v>
      </c>
      <c r="E28" s="289">
        <v>7042.0</v>
      </c>
      <c r="F28" s="289">
        <f t="shared" si="9"/>
        <v>99996.4</v>
      </c>
      <c r="G28" s="288">
        <v>44245.0</v>
      </c>
      <c r="H28" s="289">
        <v>23.7</v>
      </c>
      <c r="I28" s="289">
        <f t="shared" si="10"/>
        <v>166895.4</v>
      </c>
      <c r="J28" s="289">
        <f t="shared" si="11"/>
        <v>66899</v>
      </c>
      <c r="K28" s="289">
        <f t="shared" si="12"/>
        <v>43</v>
      </c>
      <c r="L28" s="304">
        <f t="shared" si="13"/>
        <v>0.6690140845</v>
      </c>
      <c r="M28" s="304">
        <f t="shared" si="14"/>
        <v>5.678840485</v>
      </c>
      <c r="N28" s="153" t="str">
        <f>IFERROR(__xludf.DUMMYFUNCTION("SPARKLINE(GOOGLEFINANCE(B28,""price"",today()-365,today()))"),"")</f>
        <v/>
      </c>
      <c r="O28" s="109"/>
      <c r="P28" s="109"/>
      <c r="Q28" s="27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>
      <c r="A29" s="286">
        <v>12.0</v>
      </c>
      <c r="B29" s="285" t="s">
        <v>240</v>
      </c>
      <c r="C29" s="288">
        <v>44153.0</v>
      </c>
      <c r="D29" s="289">
        <v>1370.0</v>
      </c>
      <c r="E29" s="289">
        <v>73.0</v>
      </c>
      <c r="F29" s="289">
        <f t="shared" si="9"/>
        <v>100010</v>
      </c>
      <c r="G29" s="288">
        <v>44204.0</v>
      </c>
      <c r="H29" s="286">
        <v>1645.0</v>
      </c>
      <c r="I29" s="289">
        <f t="shared" si="10"/>
        <v>120085</v>
      </c>
      <c r="J29" s="289">
        <f t="shared" si="11"/>
        <v>20075</v>
      </c>
      <c r="K29" s="289">
        <f t="shared" si="12"/>
        <v>51</v>
      </c>
      <c r="L29" s="304">
        <f t="shared" si="13"/>
        <v>0.200729927</v>
      </c>
      <c r="M29" s="304">
        <f t="shared" si="14"/>
        <v>1.436596536</v>
      </c>
      <c r="N29" s="153" t="str">
        <f>IFERROR(__xludf.DUMMYFUNCTION("SPARKLINE(GOOGLEFINANCE(B29,""price"",today()-365,today()))"),"")</f>
        <v/>
      </c>
      <c r="O29" s="109"/>
      <c r="P29" s="109"/>
      <c r="Q29" s="27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>
      <c r="A30" s="286">
        <v>13.0</v>
      </c>
      <c r="B30" s="295" t="s">
        <v>241</v>
      </c>
      <c r="C30" s="288">
        <v>44244.0</v>
      </c>
      <c r="D30" s="289">
        <v>3903.0</v>
      </c>
      <c r="E30" s="289">
        <v>26.0</v>
      </c>
      <c r="F30" s="289">
        <f t="shared" si="9"/>
        <v>101478</v>
      </c>
      <c r="G30" s="288">
        <v>44246.0</v>
      </c>
      <c r="H30" s="286">
        <v>4660.0</v>
      </c>
      <c r="I30" s="289">
        <f t="shared" si="10"/>
        <v>121160</v>
      </c>
      <c r="J30" s="289">
        <f t="shared" si="11"/>
        <v>19682</v>
      </c>
      <c r="K30" s="289">
        <f t="shared" si="12"/>
        <v>2</v>
      </c>
      <c r="L30" s="304">
        <f t="shared" si="13"/>
        <v>0.1939533692</v>
      </c>
      <c r="M30" s="304">
        <f t="shared" si="14"/>
        <v>35.39648988</v>
      </c>
      <c r="N30" s="153" t="str">
        <f>IFERROR(__xludf.DUMMYFUNCTION("SPARKLINE(GOOGLEFINANCE(B30,""price"",today()-365,today()))"),"")</f>
        <v/>
      </c>
      <c r="O30" s="109"/>
      <c r="P30" s="109"/>
      <c r="Q30" s="27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>
      <c r="A31" s="286">
        <v>14.0</v>
      </c>
      <c r="B31" s="295" t="s">
        <v>242</v>
      </c>
      <c r="C31" s="288">
        <v>44153.0</v>
      </c>
      <c r="D31" s="289">
        <v>2164.0</v>
      </c>
      <c r="E31" s="289">
        <v>46.0</v>
      </c>
      <c r="F31" s="289">
        <f t="shared" si="9"/>
        <v>99544</v>
      </c>
      <c r="G31" s="288">
        <v>44292.0</v>
      </c>
      <c r="H31" s="286">
        <v>2400.0</v>
      </c>
      <c r="I31" s="289">
        <f t="shared" si="10"/>
        <v>110400</v>
      </c>
      <c r="J31" s="289">
        <f t="shared" si="11"/>
        <v>10856</v>
      </c>
      <c r="K31" s="289">
        <f t="shared" si="12"/>
        <v>139</v>
      </c>
      <c r="L31" s="304">
        <f t="shared" si="13"/>
        <v>0.1090573013</v>
      </c>
      <c r="M31" s="304">
        <f t="shared" si="14"/>
        <v>0.286373489</v>
      </c>
      <c r="N31" s="153" t="str">
        <f>IFERROR(__xludf.DUMMYFUNCTION("SPARKLINE(GOOGLEFINANCE(B31,""price"",today()-365,today()))"),"")</f>
        <v/>
      </c>
      <c r="O31" s="109"/>
      <c r="P31" s="109"/>
      <c r="Q31" s="27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>
      <c r="A32" s="286">
        <v>15.0</v>
      </c>
      <c r="B32" s="285" t="s">
        <v>243</v>
      </c>
      <c r="C32" s="288">
        <v>44237.0</v>
      </c>
      <c r="D32" s="289">
        <v>414.0</v>
      </c>
      <c r="E32" s="289">
        <v>242.0</v>
      </c>
      <c r="F32" s="289">
        <f t="shared" si="9"/>
        <v>100188</v>
      </c>
      <c r="G32" s="288">
        <v>44313.0</v>
      </c>
      <c r="H32" s="286">
        <v>478.0</v>
      </c>
      <c r="I32" s="289">
        <f t="shared" si="10"/>
        <v>115676</v>
      </c>
      <c r="J32" s="289">
        <f t="shared" si="11"/>
        <v>15488</v>
      </c>
      <c r="K32" s="289">
        <f t="shared" si="12"/>
        <v>76</v>
      </c>
      <c r="L32" s="304">
        <f t="shared" si="13"/>
        <v>0.154589372</v>
      </c>
      <c r="M32" s="304">
        <f t="shared" si="14"/>
        <v>0.7424357996</v>
      </c>
      <c r="N32" s="153" t="str">
        <f>IFERROR(__xludf.DUMMYFUNCTION("SPARKLINE(GOOGLEFINANCE(B32,""price"",today()-365,today()))"),"")</f>
        <v/>
      </c>
      <c r="O32" s="109"/>
      <c r="P32" s="109"/>
      <c r="Q32" s="27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>
      <c r="A33" s="286">
        <v>16.0</v>
      </c>
      <c r="B33" s="285" t="s">
        <v>244</v>
      </c>
      <c r="C33" s="288">
        <v>44189.0</v>
      </c>
      <c r="D33" s="289">
        <v>2410.0</v>
      </c>
      <c r="E33" s="289">
        <v>41.0</v>
      </c>
      <c r="F33" s="289">
        <f t="shared" si="9"/>
        <v>98810</v>
      </c>
      <c r="G33" s="288">
        <v>44315.0</v>
      </c>
      <c r="H33" s="286">
        <v>2930.0</v>
      </c>
      <c r="I33" s="289">
        <f t="shared" si="10"/>
        <v>120130</v>
      </c>
      <c r="J33" s="289">
        <f t="shared" si="11"/>
        <v>21320</v>
      </c>
      <c r="K33" s="289">
        <f t="shared" si="12"/>
        <v>126</v>
      </c>
      <c r="L33" s="304">
        <f t="shared" si="13"/>
        <v>0.2157676349</v>
      </c>
      <c r="M33" s="304">
        <f t="shared" si="14"/>
        <v>0.6250411645</v>
      </c>
      <c r="N33" s="153" t="str">
        <f>IFERROR(__xludf.DUMMYFUNCTION("SPARKLINE(GOOGLEFINANCE(B33,""price"",today()-365,today()))"),"")</f>
        <v/>
      </c>
      <c r="O33" s="109"/>
      <c r="P33" s="109"/>
      <c r="Q33" s="27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>
      <c r="A34" s="286">
        <v>17.0</v>
      </c>
      <c r="B34" s="285" t="s">
        <v>245</v>
      </c>
      <c r="C34" s="288">
        <v>44252.0</v>
      </c>
      <c r="D34" s="289">
        <v>1604.0</v>
      </c>
      <c r="E34" s="289">
        <v>62.0</v>
      </c>
      <c r="F34" s="289">
        <f t="shared" si="9"/>
        <v>99448</v>
      </c>
      <c r="G34" s="309">
        <v>44328.0</v>
      </c>
      <c r="H34" s="286">
        <v>1922.0</v>
      </c>
      <c r="I34" s="289">
        <f t="shared" si="10"/>
        <v>119164</v>
      </c>
      <c r="J34" s="289">
        <f t="shared" si="11"/>
        <v>19716</v>
      </c>
      <c r="K34" s="289">
        <f t="shared" si="12"/>
        <v>76</v>
      </c>
      <c r="L34" s="304">
        <f t="shared" si="13"/>
        <v>0.1982543641</v>
      </c>
      <c r="M34" s="304">
        <f t="shared" si="14"/>
        <v>0.9521426696</v>
      </c>
      <c r="N34" s="153" t="str">
        <f>IFERROR(__xludf.DUMMYFUNCTION("SPARKLINE(GOOGLEFINANCE(B34,""price"",today()-365,today()))"),"")</f>
        <v/>
      </c>
      <c r="O34" s="109"/>
      <c r="P34" s="109"/>
      <c r="Q34" s="27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>
      <c r="A35" s="109"/>
      <c r="B35" s="109"/>
      <c r="C35" s="109"/>
      <c r="D35" s="277"/>
      <c r="E35" s="277"/>
      <c r="F35" s="277"/>
      <c r="G35" s="277"/>
      <c r="H35" s="277"/>
      <c r="I35" s="277"/>
      <c r="J35" s="277"/>
      <c r="K35" s="109"/>
      <c r="L35" s="109"/>
      <c r="M35" s="109"/>
      <c r="N35" s="109"/>
      <c r="O35" s="109"/>
      <c r="P35" s="109"/>
      <c r="Q35" s="27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>
      <c r="A36" s="300"/>
      <c r="B36" s="300"/>
      <c r="C36" s="300"/>
      <c r="D36" s="302"/>
      <c r="E36" s="302"/>
      <c r="F36" s="302"/>
      <c r="G36" s="302"/>
      <c r="H36" s="303" t="s">
        <v>246</v>
      </c>
      <c r="I36" s="302"/>
      <c r="J36" s="303">
        <f>sum(J18:J34)</f>
        <v>396685</v>
      </c>
      <c r="K36" s="300"/>
      <c r="L36" s="300"/>
      <c r="M36" s="300"/>
      <c r="N36" s="109"/>
      <c r="O36" s="109"/>
      <c r="P36" s="109"/>
      <c r="Q36" s="27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>
      <c r="A37" s="109"/>
      <c r="B37" s="109"/>
      <c r="C37" s="109"/>
      <c r="D37" s="277"/>
      <c r="E37" s="277"/>
      <c r="F37" s="277"/>
      <c r="G37" s="277"/>
      <c r="H37" s="277"/>
      <c r="I37" s="277"/>
      <c r="J37" s="109"/>
      <c r="K37" s="109"/>
      <c r="L37" s="109"/>
      <c r="M37" s="109"/>
      <c r="N37" s="109"/>
      <c r="O37" s="109"/>
      <c r="P37" s="109"/>
      <c r="Q37" s="27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>
      <c r="A38" s="109"/>
      <c r="B38" s="109"/>
      <c r="C38" s="109"/>
      <c r="D38" s="277"/>
      <c r="E38" s="277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27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>
      <c r="A39" s="109"/>
      <c r="B39" s="109"/>
      <c r="C39" s="109"/>
      <c r="D39" s="277"/>
      <c r="E39" s="277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>
      <c r="A40" s="109"/>
      <c r="B40" s="109"/>
      <c r="C40" s="109"/>
      <c r="D40" s="277"/>
      <c r="E40" s="277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>
      <c r="A41" s="109"/>
      <c r="B41" s="109"/>
      <c r="C41" s="109"/>
      <c r="D41" s="277"/>
      <c r="E41" s="277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09"/>
      <c r="B42" s="109"/>
      <c r="C42" s="109"/>
      <c r="D42" s="277"/>
      <c r="E42" s="277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09"/>
      <c r="B43" s="109"/>
      <c r="C43" s="109"/>
      <c r="D43" s="277"/>
      <c r="E43" s="277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09"/>
      <c r="B44" s="109"/>
      <c r="C44" s="109"/>
      <c r="D44" s="277"/>
      <c r="E44" s="277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09"/>
      <c r="B45" s="109"/>
      <c r="C45" s="109"/>
      <c r="D45" s="277"/>
      <c r="E45" s="277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09"/>
      <c r="B46" s="109"/>
      <c r="C46" s="109"/>
      <c r="D46" s="277"/>
      <c r="E46" s="277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09"/>
      <c r="B47" s="109"/>
      <c r="C47" s="109"/>
      <c r="D47" s="277"/>
      <c r="E47" s="277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09"/>
      <c r="B48" s="109"/>
      <c r="C48" s="109"/>
      <c r="D48" s="277"/>
      <c r="E48" s="277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09"/>
      <c r="B49" s="109"/>
      <c r="C49" s="109"/>
      <c r="D49" s="277"/>
      <c r="E49" s="277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09"/>
      <c r="B50" s="109"/>
      <c r="C50" s="109"/>
      <c r="D50" s="277"/>
      <c r="E50" s="277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09"/>
      <c r="B51" s="109"/>
      <c r="C51" s="109"/>
      <c r="D51" s="277"/>
      <c r="E51" s="277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09"/>
      <c r="B52" s="109"/>
      <c r="C52" s="109"/>
      <c r="D52" s="277"/>
      <c r="E52" s="277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09"/>
      <c r="B53" s="109"/>
      <c r="C53" s="109"/>
      <c r="D53" s="277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09"/>
      <c r="B54" s="109"/>
      <c r="C54" s="109"/>
      <c r="D54" s="277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09"/>
      <c r="B55" s="109"/>
      <c r="C55" s="109"/>
      <c r="D55" s="277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09"/>
      <c r="B56" s="109"/>
      <c r="C56" s="109"/>
      <c r="D56" s="277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09"/>
      <c r="B57" s="109"/>
      <c r="C57" s="109"/>
      <c r="D57" s="277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09"/>
      <c r="B58" s="109"/>
      <c r="C58" s="109"/>
      <c r="D58" s="277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09"/>
      <c r="B59" s="109"/>
      <c r="C59" s="109"/>
      <c r="D59" s="277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09"/>
      <c r="B60" s="109"/>
      <c r="C60" s="109"/>
      <c r="D60" s="277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09"/>
      <c r="B61" s="109"/>
      <c r="C61" s="109"/>
      <c r="D61" s="277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09"/>
      <c r="B62" s="109"/>
      <c r="C62" s="109"/>
      <c r="D62" s="277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09"/>
      <c r="B63" s="109"/>
      <c r="C63" s="109"/>
      <c r="D63" s="277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09"/>
      <c r="B64" s="109"/>
      <c r="C64" s="109"/>
      <c r="D64" s="277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09"/>
      <c r="B65" s="109"/>
      <c r="C65" s="109"/>
      <c r="D65" s="277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09"/>
      <c r="B66" s="109"/>
      <c r="C66" s="109"/>
      <c r="D66" s="277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09"/>
      <c r="B67" s="109"/>
      <c r="C67" s="109"/>
      <c r="D67" s="277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09"/>
      <c r="B68" s="109"/>
      <c r="C68" s="109"/>
      <c r="D68" s="277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09"/>
      <c r="B69" s="109"/>
      <c r="C69" s="109"/>
      <c r="D69" s="277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09"/>
      <c r="B70" s="109"/>
      <c r="C70" s="109"/>
      <c r="D70" s="277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09"/>
      <c r="B71" s="109"/>
      <c r="C71" s="109"/>
      <c r="D71" s="277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09"/>
      <c r="B72" s="109"/>
      <c r="C72" s="109"/>
      <c r="D72" s="277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09"/>
      <c r="B73" s="109"/>
      <c r="C73" s="109"/>
      <c r="D73" s="277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09"/>
      <c r="B74" s="109"/>
      <c r="C74" s="109"/>
      <c r="D74" s="277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09"/>
      <c r="B75" s="109"/>
      <c r="C75" s="109"/>
      <c r="D75" s="277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09"/>
      <c r="B76" s="109"/>
      <c r="C76" s="109"/>
      <c r="D76" s="277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09"/>
      <c r="B77" s="109"/>
      <c r="C77" s="109"/>
      <c r="D77" s="277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09"/>
      <c r="B78" s="109"/>
      <c r="C78" s="109"/>
      <c r="D78" s="277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09"/>
      <c r="B79" s="109"/>
      <c r="C79" s="109"/>
      <c r="D79" s="277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09"/>
      <c r="B80" s="109"/>
      <c r="C80" s="109"/>
      <c r="D80" s="277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09"/>
      <c r="B81" s="109"/>
      <c r="C81" s="109"/>
      <c r="D81" s="277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09"/>
      <c r="B82" s="109"/>
      <c r="C82" s="109"/>
      <c r="D82" s="277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09"/>
      <c r="B83" s="109"/>
      <c r="C83" s="109"/>
      <c r="D83" s="277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09"/>
      <c r="B84" s="109"/>
      <c r="C84" s="109"/>
      <c r="D84" s="277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09"/>
      <c r="B85" s="109"/>
      <c r="C85" s="109"/>
      <c r="D85" s="277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09"/>
      <c r="B86" s="109"/>
      <c r="C86" s="109"/>
      <c r="D86" s="277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09"/>
      <c r="B87" s="109"/>
      <c r="C87" s="109"/>
      <c r="D87" s="277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09"/>
      <c r="B88" s="109"/>
      <c r="C88" s="109"/>
      <c r="D88" s="277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09"/>
      <c r="B89" s="109"/>
      <c r="C89" s="109"/>
      <c r="D89" s="277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09"/>
      <c r="B90" s="109"/>
      <c r="C90" s="109"/>
      <c r="D90" s="277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09"/>
      <c r="B91" s="109"/>
      <c r="C91" s="109"/>
      <c r="D91" s="277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09"/>
      <c r="B92" s="109"/>
      <c r="C92" s="109"/>
      <c r="D92" s="277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09"/>
      <c r="B93" s="109"/>
      <c r="C93" s="109"/>
      <c r="D93" s="277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09"/>
      <c r="B94" s="109"/>
      <c r="C94" s="109"/>
      <c r="D94" s="277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09"/>
      <c r="B95" s="109"/>
      <c r="C95" s="109"/>
      <c r="D95" s="277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09"/>
      <c r="B96" s="109"/>
      <c r="C96" s="109"/>
      <c r="D96" s="277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09"/>
      <c r="B97" s="109"/>
      <c r="C97" s="109"/>
      <c r="D97" s="277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09"/>
      <c r="B98" s="109"/>
      <c r="C98" s="109"/>
      <c r="D98" s="277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09"/>
      <c r="B99" s="109"/>
      <c r="C99" s="109"/>
      <c r="D99" s="277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09"/>
      <c r="B100" s="109"/>
      <c r="C100" s="109"/>
      <c r="D100" s="277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09"/>
      <c r="B101" s="109"/>
      <c r="C101" s="109"/>
      <c r="D101" s="277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09"/>
      <c r="B102" s="109"/>
      <c r="C102" s="109"/>
      <c r="D102" s="277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09"/>
      <c r="B103" s="109"/>
      <c r="C103" s="109"/>
      <c r="D103" s="277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09"/>
      <c r="B104" s="109"/>
      <c r="C104" s="109"/>
      <c r="D104" s="277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09"/>
      <c r="B105" s="109"/>
      <c r="C105" s="109"/>
      <c r="D105" s="277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09"/>
      <c r="B106" s="109"/>
      <c r="C106" s="109"/>
      <c r="D106" s="277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09"/>
      <c r="B107" s="109"/>
      <c r="C107" s="109"/>
      <c r="D107" s="277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09"/>
      <c r="B108" s="109"/>
      <c r="C108" s="109"/>
      <c r="D108" s="277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09"/>
      <c r="B109" s="109"/>
      <c r="C109" s="109"/>
      <c r="D109" s="277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09"/>
      <c r="B110" s="109"/>
      <c r="C110" s="109"/>
      <c r="D110" s="277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09"/>
      <c r="B111" s="109"/>
      <c r="C111" s="109"/>
      <c r="D111" s="277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09"/>
      <c r="B112" s="109"/>
      <c r="C112" s="109"/>
      <c r="D112" s="277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09"/>
      <c r="B113" s="109"/>
      <c r="C113" s="109"/>
      <c r="D113" s="277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09"/>
      <c r="B114" s="109"/>
      <c r="C114" s="109"/>
      <c r="D114" s="277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09"/>
      <c r="B115" s="109"/>
      <c r="C115" s="109"/>
      <c r="D115" s="277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09"/>
      <c r="B116" s="109"/>
      <c r="C116" s="109"/>
      <c r="D116" s="277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09"/>
      <c r="B117" s="109"/>
      <c r="C117" s="109"/>
      <c r="D117" s="277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09"/>
      <c r="B118" s="109"/>
      <c r="C118" s="109"/>
      <c r="D118" s="277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09"/>
      <c r="B119" s="109"/>
      <c r="C119" s="109"/>
      <c r="D119" s="277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09"/>
      <c r="B120" s="109"/>
      <c r="C120" s="109"/>
      <c r="D120" s="277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09"/>
      <c r="B121" s="109"/>
      <c r="C121" s="109"/>
      <c r="D121" s="277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09"/>
      <c r="B122" s="109"/>
      <c r="C122" s="109"/>
      <c r="D122" s="277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09"/>
      <c r="B123" s="109"/>
      <c r="C123" s="109"/>
      <c r="D123" s="277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09"/>
      <c r="B124" s="109"/>
      <c r="C124" s="109"/>
      <c r="D124" s="277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09"/>
      <c r="B125" s="109"/>
      <c r="C125" s="109"/>
      <c r="D125" s="277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09"/>
      <c r="B126" s="109"/>
      <c r="C126" s="109"/>
      <c r="D126" s="277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09"/>
      <c r="B127" s="109"/>
      <c r="C127" s="109"/>
      <c r="D127" s="277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09"/>
      <c r="B128" s="109"/>
      <c r="C128" s="109"/>
      <c r="D128" s="277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09"/>
      <c r="B129" s="109"/>
      <c r="C129" s="109"/>
      <c r="D129" s="277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09"/>
      <c r="B130" s="109"/>
      <c r="C130" s="109"/>
      <c r="D130" s="277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09"/>
      <c r="B131" s="109"/>
      <c r="C131" s="109"/>
      <c r="D131" s="277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09"/>
      <c r="B132" s="109"/>
      <c r="C132" s="109"/>
      <c r="D132" s="277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09"/>
      <c r="B133" s="109"/>
      <c r="C133" s="109"/>
      <c r="D133" s="277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09"/>
      <c r="B134" s="109"/>
      <c r="C134" s="109"/>
      <c r="D134" s="277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09"/>
      <c r="B135" s="109"/>
      <c r="C135" s="109"/>
      <c r="D135" s="277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09"/>
      <c r="B136" s="109"/>
      <c r="C136" s="109"/>
      <c r="D136" s="277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09"/>
      <c r="B137" s="109"/>
      <c r="C137" s="109"/>
      <c r="D137" s="277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09"/>
      <c r="B138" s="109"/>
      <c r="C138" s="109"/>
      <c r="D138" s="277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09"/>
      <c r="B139" s="109"/>
      <c r="C139" s="109"/>
      <c r="D139" s="277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09"/>
      <c r="B140" s="109"/>
      <c r="C140" s="109"/>
      <c r="D140" s="277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09"/>
      <c r="B141" s="109"/>
      <c r="C141" s="109"/>
      <c r="D141" s="277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09"/>
      <c r="B142" s="109"/>
      <c r="C142" s="109"/>
      <c r="D142" s="277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09"/>
      <c r="B143" s="109"/>
      <c r="C143" s="109"/>
      <c r="D143" s="277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09"/>
      <c r="B144" s="109"/>
      <c r="C144" s="109"/>
      <c r="D144" s="277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09"/>
      <c r="B145" s="109"/>
      <c r="C145" s="109"/>
      <c r="D145" s="277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09"/>
      <c r="B146" s="109"/>
      <c r="C146" s="109"/>
      <c r="D146" s="277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09"/>
      <c r="B147" s="109"/>
      <c r="C147" s="109"/>
      <c r="D147" s="277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09"/>
      <c r="B148" s="109"/>
      <c r="C148" s="109"/>
      <c r="D148" s="277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09"/>
      <c r="B149" s="109"/>
      <c r="C149" s="109"/>
      <c r="D149" s="277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09"/>
      <c r="B150" s="109"/>
      <c r="C150" s="109"/>
      <c r="D150" s="277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09"/>
      <c r="B151" s="109"/>
      <c r="C151" s="109"/>
      <c r="D151" s="277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09"/>
      <c r="B152" s="109"/>
      <c r="C152" s="109"/>
      <c r="D152" s="277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09"/>
      <c r="B153" s="109"/>
      <c r="C153" s="109"/>
      <c r="D153" s="277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09"/>
      <c r="B154" s="109"/>
      <c r="C154" s="109"/>
      <c r="D154" s="277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09"/>
      <c r="B155" s="109"/>
      <c r="C155" s="109"/>
      <c r="D155" s="277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09"/>
      <c r="B156" s="109"/>
      <c r="C156" s="109"/>
      <c r="D156" s="277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09"/>
      <c r="B157" s="109"/>
      <c r="C157" s="109"/>
      <c r="D157" s="277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09"/>
      <c r="B158" s="109"/>
      <c r="C158" s="109"/>
      <c r="D158" s="277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09"/>
      <c r="B159" s="109"/>
      <c r="C159" s="109"/>
      <c r="D159" s="277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09"/>
      <c r="B160" s="109"/>
      <c r="C160" s="109"/>
      <c r="D160" s="277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09"/>
      <c r="B161" s="109"/>
      <c r="C161" s="109"/>
      <c r="D161" s="277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09"/>
      <c r="B162" s="109"/>
      <c r="C162" s="109"/>
      <c r="D162" s="277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09"/>
      <c r="B163" s="109"/>
      <c r="C163" s="109"/>
      <c r="D163" s="277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09"/>
      <c r="B164" s="109"/>
      <c r="C164" s="109"/>
      <c r="D164" s="277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09"/>
      <c r="B165" s="109"/>
      <c r="C165" s="109"/>
      <c r="D165" s="277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09"/>
      <c r="B166" s="109"/>
      <c r="C166" s="109"/>
      <c r="D166" s="277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09"/>
      <c r="B167" s="109"/>
      <c r="C167" s="109"/>
      <c r="D167" s="277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09"/>
      <c r="B168" s="109"/>
      <c r="C168" s="109"/>
      <c r="D168" s="277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09"/>
      <c r="B169" s="109"/>
      <c r="C169" s="109"/>
      <c r="D169" s="277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09"/>
      <c r="B170" s="109"/>
      <c r="C170" s="109"/>
      <c r="D170" s="277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09"/>
      <c r="B171" s="109"/>
      <c r="C171" s="109"/>
      <c r="D171" s="277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09"/>
      <c r="B172" s="109"/>
      <c r="C172" s="109"/>
      <c r="D172" s="277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09"/>
      <c r="B173" s="109"/>
      <c r="C173" s="109"/>
      <c r="D173" s="277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09"/>
      <c r="B174" s="109"/>
      <c r="C174" s="109"/>
      <c r="D174" s="277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09"/>
      <c r="B175" s="109"/>
      <c r="C175" s="109"/>
      <c r="D175" s="277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09"/>
      <c r="B176" s="109"/>
      <c r="C176" s="109"/>
      <c r="D176" s="277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09"/>
      <c r="B177" s="109"/>
      <c r="C177" s="109"/>
      <c r="D177" s="277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09"/>
      <c r="B178" s="109"/>
      <c r="C178" s="109"/>
      <c r="D178" s="277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09"/>
      <c r="B179" s="109"/>
      <c r="C179" s="109"/>
      <c r="D179" s="277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09"/>
      <c r="B180" s="109"/>
      <c r="C180" s="109"/>
      <c r="D180" s="277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09"/>
      <c r="B181" s="109"/>
      <c r="C181" s="109"/>
      <c r="D181" s="277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09"/>
      <c r="B182" s="109"/>
      <c r="C182" s="109"/>
      <c r="D182" s="277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09"/>
      <c r="B183" s="109"/>
      <c r="C183" s="109"/>
      <c r="D183" s="277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09"/>
      <c r="B184" s="109"/>
      <c r="C184" s="109"/>
      <c r="D184" s="277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09"/>
      <c r="B185" s="109"/>
      <c r="C185" s="109"/>
      <c r="D185" s="277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09"/>
      <c r="B186" s="109"/>
      <c r="C186" s="109"/>
      <c r="D186" s="277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09"/>
      <c r="B187" s="109"/>
      <c r="C187" s="109"/>
      <c r="D187" s="277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09"/>
      <c r="B188" s="109"/>
      <c r="C188" s="109"/>
      <c r="D188" s="277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09"/>
      <c r="B189" s="109"/>
      <c r="C189" s="109"/>
      <c r="D189" s="277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09"/>
      <c r="B190" s="109"/>
      <c r="C190" s="109"/>
      <c r="D190" s="277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09"/>
      <c r="B191" s="109"/>
      <c r="C191" s="109"/>
      <c r="D191" s="277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09"/>
      <c r="B192" s="109"/>
      <c r="C192" s="109"/>
      <c r="D192" s="277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09"/>
      <c r="B193" s="109"/>
      <c r="C193" s="109"/>
      <c r="D193" s="277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09"/>
      <c r="B194" s="109"/>
      <c r="C194" s="109"/>
      <c r="D194" s="277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09"/>
      <c r="B195" s="109"/>
      <c r="C195" s="109"/>
      <c r="D195" s="277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09"/>
      <c r="B196" s="109"/>
      <c r="C196" s="109"/>
      <c r="D196" s="277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09"/>
      <c r="B197" s="109"/>
      <c r="C197" s="109"/>
      <c r="D197" s="277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09"/>
      <c r="B198" s="109"/>
      <c r="C198" s="109"/>
      <c r="D198" s="277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09"/>
      <c r="B199" s="109"/>
      <c r="C199" s="109"/>
      <c r="D199" s="277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09"/>
      <c r="B200" s="109"/>
      <c r="C200" s="109"/>
      <c r="D200" s="277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09"/>
      <c r="B201" s="109"/>
      <c r="C201" s="109"/>
      <c r="D201" s="277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09"/>
      <c r="B202" s="109"/>
      <c r="C202" s="109"/>
      <c r="D202" s="277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09"/>
      <c r="B203" s="109"/>
      <c r="C203" s="109"/>
      <c r="D203" s="277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09"/>
      <c r="B204" s="109"/>
      <c r="C204" s="109"/>
      <c r="D204" s="277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09"/>
      <c r="B205" s="109"/>
      <c r="C205" s="109"/>
      <c r="D205" s="277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09"/>
      <c r="B206" s="109"/>
      <c r="C206" s="109"/>
      <c r="D206" s="277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09"/>
      <c r="B207" s="109"/>
      <c r="C207" s="109"/>
      <c r="D207" s="277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09"/>
      <c r="B208" s="109"/>
      <c r="C208" s="109"/>
      <c r="D208" s="277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09"/>
      <c r="B209" s="109"/>
      <c r="C209" s="109"/>
      <c r="D209" s="277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09"/>
      <c r="B210" s="109"/>
      <c r="C210" s="109"/>
      <c r="D210" s="277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09"/>
      <c r="B211" s="109"/>
      <c r="C211" s="109"/>
      <c r="D211" s="277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09"/>
      <c r="B212" s="109"/>
      <c r="C212" s="109"/>
      <c r="D212" s="277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09"/>
      <c r="B213" s="109"/>
      <c r="C213" s="109"/>
      <c r="D213" s="277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09"/>
      <c r="B214" s="109"/>
      <c r="C214" s="109"/>
      <c r="D214" s="277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09"/>
      <c r="B215" s="109"/>
      <c r="C215" s="109"/>
      <c r="D215" s="277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09"/>
      <c r="B216" s="109"/>
      <c r="C216" s="109"/>
      <c r="D216" s="277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09"/>
      <c r="B217" s="109"/>
      <c r="C217" s="109"/>
      <c r="D217" s="277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09"/>
      <c r="B218" s="109"/>
      <c r="C218" s="109"/>
      <c r="D218" s="277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09"/>
      <c r="B219" s="109"/>
      <c r="C219" s="109"/>
      <c r="D219" s="277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09"/>
      <c r="B220" s="109"/>
      <c r="C220" s="109"/>
      <c r="D220" s="277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09"/>
      <c r="B221" s="109"/>
      <c r="C221" s="109"/>
      <c r="D221" s="277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09"/>
      <c r="B222" s="109"/>
      <c r="C222" s="109"/>
      <c r="D222" s="277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09"/>
      <c r="B223" s="109"/>
      <c r="C223" s="109"/>
      <c r="D223" s="277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09"/>
      <c r="B224" s="109"/>
      <c r="C224" s="109"/>
      <c r="D224" s="277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09"/>
      <c r="B225" s="109"/>
      <c r="C225" s="109"/>
      <c r="D225" s="277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09"/>
      <c r="B226" s="109"/>
      <c r="C226" s="109"/>
      <c r="D226" s="277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09"/>
      <c r="B227" s="109"/>
      <c r="C227" s="109"/>
      <c r="D227" s="277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09"/>
      <c r="B228" s="109"/>
      <c r="C228" s="109"/>
      <c r="D228" s="277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09"/>
      <c r="B229" s="109"/>
      <c r="C229" s="109"/>
      <c r="D229" s="277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09"/>
      <c r="B230" s="109"/>
      <c r="C230" s="109"/>
      <c r="D230" s="277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09"/>
      <c r="B231" s="109"/>
      <c r="C231" s="109"/>
      <c r="D231" s="277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09"/>
      <c r="B232" s="109"/>
      <c r="C232" s="109"/>
      <c r="D232" s="277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09"/>
      <c r="B233" s="109"/>
      <c r="C233" s="109"/>
      <c r="D233" s="277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09"/>
      <c r="B234" s="109"/>
      <c r="C234" s="109"/>
      <c r="D234" s="277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09"/>
      <c r="B235" s="109"/>
      <c r="C235" s="109"/>
      <c r="D235" s="277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09"/>
      <c r="B236" s="109"/>
      <c r="C236" s="109"/>
      <c r="D236" s="277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09"/>
      <c r="B237" s="109"/>
      <c r="C237" s="109"/>
      <c r="D237" s="277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09"/>
      <c r="B238" s="109"/>
      <c r="C238" s="109"/>
      <c r="D238" s="277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09"/>
      <c r="B239" s="109"/>
      <c r="C239" s="109"/>
      <c r="D239" s="277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09"/>
      <c r="B240" s="109"/>
      <c r="C240" s="109"/>
      <c r="D240" s="277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09"/>
      <c r="B241" s="109"/>
      <c r="C241" s="109"/>
      <c r="D241" s="277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09"/>
      <c r="B242" s="109"/>
      <c r="C242" s="109"/>
      <c r="D242" s="277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09"/>
      <c r="B243" s="109"/>
      <c r="C243" s="109"/>
      <c r="D243" s="277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09"/>
      <c r="B244" s="109"/>
      <c r="C244" s="109"/>
      <c r="D244" s="277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09"/>
      <c r="B245" s="109"/>
      <c r="C245" s="109"/>
      <c r="D245" s="277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09"/>
      <c r="B246" s="109"/>
      <c r="C246" s="109"/>
      <c r="D246" s="277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09"/>
      <c r="B247" s="109"/>
      <c r="C247" s="109"/>
      <c r="D247" s="277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09"/>
      <c r="B248" s="109"/>
      <c r="C248" s="109"/>
      <c r="D248" s="277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09"/>
      <c r="B249" s="109"/>
      <c r="C249" s="109"/>
      <c r="D249" s="277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09"/>
      <c r="B250" s="109"/>
      <c r="C250" s="109"/>
      <c r="D250" s="277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09"/>
      <c r="B251" s="109"/>
      <c r="C251" s="109"/>
      <c r="D251" s="277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09"/>
      <c r="B252" s="109"/>
      <c r="C252" s="109"/>
      <c r="D252" s="277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09"/>
      <c r="B253" s="109"/>
      <c r="C253" s="109"/>
      <c r="D253" s="277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09"/>
      <c r="B254" s="109"/>
      <c r="C254" s="109"/>
      <c r="D254" s="277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09"/>
      <c r="B255" s="109"/>
      <c r="C255" s="109"/>
      <c r="D255" s="277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09"/>
      <c r="B256" s="109"/>
      <c r="C256" s="109"/>
      <c r="D256" s="277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09"/>
      <c r="B257" s="109"/>
      <c r="C257" s="109"/>
      <c r="D257" s="277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09"/>
      <c r="B258" s="109"/>
      <c r="C258" s="109"/>
      <c r="D258" s="277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09"/>
      <c r="B259" s="109"/>
      <c r="C259" s="109"/>
      <c r="D259" s="277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09"/>
      <c r="B260" s="109"/>
      <c r="C260" s="109"/>
      <c r="D260" s="277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09"/>
      <c r="B261" s="109"/>
      <c r="C261" s="109"/>
      <c r="D261" s="277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09"/>
      <c r="B262" s="109"/>
      <c r="C262" s="109"/>
      <c r="D262" s="277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09"/>
      <c r="B263" s="109"/>
      <c r="C263" s="109"/>
      <c r="D263" s="277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09"/>
      <c r="B264" s="109"/>
      <c r="C264" s="109"/>
      <c r="D264" s="277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09"/>
      <c r="B265" s="109"/>
      <c r="C265" s="109"/>
      <c r="D265" s="277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09"/>
      <c r="B266" s="109"/>
      <c r="C266" s="109"/>
      <c r="D266" s="277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09"/>
      <c r="B267" s="109"/>
      <c r="C267" s="109"/>
      <c r="D267" s="277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09"/>
      <c r="B268" s="109"/>
      <c r="C268" s="109"/>
      <c r="D268" s="277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09"/>
      <c r="B269" s="109"/>
      <c r="C269" s="109"/>
      <c r="D269" s="277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09"/>
      <c r="B270" s="109"/>
      <c r="C270" s="109"/>
      <c r="D270" s="277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09"/>
      <c r="B271" s="109"/>
      <c r="C271" s="109"/>
      <c r="D271" s="277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09"/>
      <c r="B272" s="109"/>
      <c r="C272" s="109"/>
      <c r="D272" s="277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09"/>
      <c r="B273" s="109"/>
      <c r="C273" s="109"/>
      <c r="D273" s="277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09"/>
      <c r="B274" s="109"/>
      <c r="C274" s="109"/>
      <c r="D274" s="277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09"/>
      <c r="B275" s="109"/>
      <c r="C275" s="109"/>
      <c r="D275" s="277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09"/>
      <c r="B276" s="109"/>
      <c r="C276" s="109"/>
      <c r="D276" s="277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09"/>
      <c r="B277" s="109"/>
      <c r="C277" s="109"/>
      <c r="D277" s="277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09"/>
      <c r="B278" s="109"/>
      <c r="C278" s="109"/>
      <c r="D278" s="277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09"/>
      <c r="B279" s="109"/>
      <c r="C279" s="109"/>
      <c r="D279" s="277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09"/>
      <c r="B280" s="109"/>
      <c r="C280" s="109"/>
      <c r="D280" s="277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09"/>
      <c r="B281" s="109"/>
      <c r="C281" s="109"/>
      <c r="D281" s="277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09"/>
      <c r="B282" s="109"/>
      <c r="C282" s="109"/>
      <c r="D282" s="277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09"/>
      <c r="B283" s="109"/>
      <c r="C283" s="109"/>
      <c r="D283" s="277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09"/>
      <c r="B284" s="109"/>
      <c r="C284" s="109"/>
      <c r="D284" s="277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09"/>
      <c r="B285" s="109"/>
      <c r="C285" s="109"/>
      <c r="D285" s="277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09"/>
      <c r="B286" s="109"/>
      <c r="C286" s="109"/>
      <c r="D286" s="277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09"/>
      <c r="B287" s="109"/>
      <c r="C287" s="109"/>
      <c r="D287" s="277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09"/>
      <c r="B288" s="109"/>
      <c r="C288" s="109"/>
      <c r="D288" s="277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09"/>
      <c r="B289" s="109"/>
      <c r="C289" s="109"/>
      <c r="D289" s="277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09"/>
      <c r="B290" s="109"/>
      <c r="C290" s="109"/>
      <c r="D290" s="277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09"/>
      <c r="B291" s="109"/>
      <c r="C291" s="109"/>
      <c r="D291" s="277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09"/>
      <c r="B292" s="109"/>
      <c r="C292" s="109"/>
      <c r="D292" s="277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09"/>
      <c r="B293" s="109"/>
      <c r="C293" s="109"/>
      <c r="D293" s="277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09"/>
      <c r="B294" s="109"/>
      <c r="C294" s="109"/>
      <c r="D294" s="277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09"/>
      <c r="B295" s="109"/>
      <c r="C295" s="109"/>
      <c r="D295" s="277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09"/>
      <c r="B296" s="109"/>
      <c r="C296" s="109"/>
      <c r="D296" s="277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09"/>
      <c r="B297" s="109"/>
      <c r="C297" s="109"/>
      <c r="D297" s="277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09"/>
      <c r="B298" s="109"/>
      <c r="C298" s="109"/>
      <c r="D298" s="277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09"/>
      <c r="B299" s="109"/>
      <c r="C299" s="109"/>
      <c r="D299" s="277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09"/>
      <c r="B300" s="109"/>
      <c r="C300" s="109"/>
      <c r="D300" s="277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09"/>
      <c r="B301" s="109"/>
      <c r="C301" s="109"/>
      <c r="D301" s="277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09"/>
      <c r="B302" s="109"/>
      <c r="C302" s="109"/>
      <c r="D302" s="277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09"/>
      <c r="B303" s="109"/>
      <c r="C303" s="109"/>
      <c r="D303" s="277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09"/>
      <c r="B304" s="109"/>
      <c r="C304" s="109"/>
      <c r="D304" s="277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09"/>
      <c r="B305" s="109"/>
      <c r="C305" s="109"/>
      <c r="D305" s="277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09"/>
      <c r="B306" s="109"/>
      <c r="C306" s="109"/>
      <c r="D306" s="277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09"/>
      <c r="B307" s="109"/>
      <c r="C307" s="109"/>
      <c r="D307" s="277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09"/>
      <c r="B308" s="109"/>
      <c r="C308" s="109"/>
      <c r="D308" s="277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09"/>
      <c r="B309" s="109"/>
      <c r="C309" s="109"/>
      <c r="D309" s="277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09"/>
      <c r="B310" s="109"/>
      <c r="C310" s="109"/>
      <c r="D310" s="277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09"/>
      <c r="B311" s="109"/>
      <c r="C311" s="109"/>
      <c r="D311" s="277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09"/>
      <c r="B312" s="109"/>
      <c r="C312" s="109"/>
      <c r="D312" s="277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09"/>
      <c r="B313" s="109"/>
      <c r="C313" s="109"/>
      <c r="D313" s="277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09"/>
      <c r="B314" s="109"/>
      <c r="C314" s="109"/>
      <c r="D314" s="277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09"/>
      <c r="B315" s="109"/>
      <c r="C315" s="109"/>
      <c r="D315" s="277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09"/>
      <c r="B316" s="109"/>
      <c r="C316" s="109"/>
      <c r="D316" s="277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09"/>
      <c r="B317" s="109"/>
      <c r="C317" s="109"/>
      <c r="D317" s="277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09"/>
      <c r="B318" s="109"/>
      <c r="C318" s="109"/>
      <c r="D318" s="277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09"/>
      <c r="B319" s="109"/>
      <c r="C319" s="109"/>
      <c r="D319" s="277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09"/>
      <c r="B320" s="109"/>
      <c r="C320" s="109"/>
      <c r="D320" s="277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09"/>
      <c r="B321" s="109"/>
      <c r="C321" s="109"/>
      <c r="D321" s="277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09"/>
      <c r="B322" s="109"/>
      <c r="C322" s="109"/>
      <c r="D322" s="277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09"/>
      <c r="B323" s="109"/>
      <c r="C323" s="109"/>
      <c r="D323" s="277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09"/>
      <c r="B324" s="109"/>
      <c r="C324" s="109"/>
      <c r="D324" s="277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09"/>
      <c r="B325" s="109"/>
      <c r="C325" s="109"/>
      <c r="D325" s="277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09"/>
      <c r="B326" s="109"/>
      <c r="C326" s="109"/>
      <c r="D326" s="277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09"/>
      <c r="B327" s="109"/>
      <c r="C327" s="109"/>
      <c r="D327" s="277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09"/>
      <c r="B328" s="109"/>
      <c r="C328" s="109"/>
      <c r="D328" s="277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09"/>
      <c r="B329" s="109"/>
      <c r="C329" s="109"/>
      <c r="D329" s="277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09"/>
      <c r="B330" s="109"/>
      <c r="C330" s="109"/>
      <c r="D330" s="277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09"/>
      <c r="B331" s="109"/>
      <c r="C331" s="109"/>
      <c r="D331" s="277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09"/>
      <c r="B332" s="109"/>
      <c r="C332" s="109"/>
      <c r="D332" s="277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09"/>
      <c r="B333" s="109"/>
      <c r="C333" s="109"/>
      <c r="D333" s="277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09"/>
      <c r="B334" s="109"/>
      <c r="C334" s="109"/>
      <c r="D334" s="277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09"/>
      <c r="B335" s="109"/>
      <c r="C335" s="109"/>
      <c r="D335" s="277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09"/>
      <c r="B336" s="109"/>
      <c r="C336" s="109"/>
      <c r="D336" s="277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09"/>
      <c r="B337" s="109"/>
      <c r="C337" s="109"/>
      <c r="D337" s="277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09"/>
      <c r="B338" s="109"/>
      <c r="C338" s="109"/>
      <c r="D338" s="277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09"/>
      <c r="B339" s="109"/>
      <c r="C339" s="109"/>
      <c r="D339" s="277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09"/>
      <c r="B340" s="109"/>
      <c r="C340" s="109"/>
      <c r="D340" s="277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09"/>
      <c r="B341" s="109"/>
      <c r="C341" s="109"/>
      <c r="D341" s="277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09"/>
      <c r="B342" s="109"/>
      <c r="C342" s="109"/>
      <c r="D342" s="277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09"/>
      <c r="B343" s="109"/>
      <c r="C343" s="109"/>
      <c r="D343" s="277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09"/>
      <c r="B344" s="109"/>
      <c r="C344" s="109"/>
      <c r="D344" s="277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09"/>
      <c r="B345" s="109"/>
      <c r="C345" s="109"/>
      <c r="D345" s="277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09"/>
      <c r="B346" s="109"/>
      <c r="C346" s="109"/>
      <c r="D346" s="277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09"/>
      <c r="B347" s="109"/>
      <c r="C347" s="109"/>
      <c r="D347" s="277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09"/>
      <c r="B348" s="109"/>
      <c r="C348" s="109"/>
      <c r="D348" s="277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09"/>
      <c r="B349" s="109"/>
      <c r="C349" s="109"/>
      <c r="D349" s="277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09"/>
      <c r="B350" s="109"/>
      <c r="C350" s="109"/>
      <c r="D350" s="277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09"/>
      <c r="B351" s="109"/>
      <c r="C351" s="109"/>
      <c r="D351" s="277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09"/>
      <c r="B352" s="109"/>
      <c r="C352" s="109"/>
      <c r="D352" s="277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09"/>
      <c r="B353" s="109"/>
      <c r="C353" s="109"/>
      <c r="D353" s="277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09"/>
      <c r="B354" s="109"/>
      <c r="C354" s="109"/>
      <c r="D354" s="277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09"/>
      <c r="B355" s="109"/>
      <c r="C355" s="109"/>
      <c r="D355" s="277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09"/>
      <c r="B356" s="109"/>
      <c r="C356" s="109"/>
      <c r="D356" s="277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09"/>
      <c r="B357" s="109"/>
      <c r="C357" s="109"/>
      <c r="D357" s="277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09"/>
      <c r="B358" s="109"/>
      <c r="C358" s="109"/>
      <c r="D358" s="277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09"/>
      <c r="B359" s="109"/>
      <c r="C359" s="109"/>
      <c r="D359" s="277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09"/>
      <c r="B360" s="109"/>
      <c r="C360" s="109"/>
      <c r="D360" s="277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09"/>
      <c r="B361" s="109"/>
      <c r="C361" s="109"/>
      <c r="D361" s="277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09"/>
      <c r="B362" s="109"/>
      <c r="C362" s="109"/>
      <c r="D362" s="277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09"/>
      <c r="B363" s="109"/>
      <c r="C363" s="109"/>
      <c r="D363" s="277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09"/>
      <c r="B364" s="109"/>
      <c r="C364" s="109"/>
      <c r="D364" s="277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09"/>
      <c r="B365" s="109"/>
      <c r="C365" s="109"/>
      <c r="D365" s="277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09"/>
      <c r="B366" s="109"/>
      <c r="C366" s="109"/>
      <c r="D366" s="277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09"/>
      <c r="B367" s="109"/>
      <c r="C367" s="109"/>
      <c r="D367" s="277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09"/>
      <c r="B368" s="109"/>
      <c r="C368" s="109"/>
      <c r="D368" s="277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09"/>
      <c r="B369" s="109"/>
      <c r="C369" s="109"/>
      <c r="D369" s="277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09"/>
      <c r="B370" s="109"/>
      <c r="C370" s="109"/>
      <c r="D370" s="277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09"/>
      <c r="B371" s="109"/>
      <c r="C371" s="109"/>
      <c r="D371" s="277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09"/>
      <c r="B372" s="109"/>
      <c r="C372" s="109"/>
      <c r="D372" s="277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09"/>
      <c r="B373" s="109"/>
      <c r="C373" s="109"/>
      <c r="D373" s="277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09"/>
      <c r="B374" s="109"/>
      <c r="C374" s="109"/>
      <c r="D374" s="277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09"/>
      <c r="B375" s="109"/>
      <c r="C375" s="109"/>
      <c r="D375" s="277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09"/>
      <c r="B376" s="109"/>
      <c r="C376" s="109"/>
      <c r="D376" s="277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09"/>
      <c r="B377" s="109"/>
      <c r="C377" s="109"/>
      <c r="D377" s="277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09"/>
      <c r="B378" s="109"/>
      <c r="C378" s="109"/>
      <c r="D378" s="277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09"/>
      <c r="B379" s="109"/>
      <c r="C379" s="109"/>
      <c r="D379" s="277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09"/>
      <c r="B380" s="109"/>
      <c r="C380" s="109"/>
      <c r="D380" s="277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09"/>
      <c r="B381" s="109"/>
      <c r="C381" s="109"/>
      <c r="D381" s="277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09"/>
      <c r="B382" s="109"/>
      <c r="C382" s="109"/>
      <c r="D382" s="277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09"/>
      <c r="B383" s="109"/>
      <c r="C383" s="109"/>
      <c r="D383" s="277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09"/>
      <c r="B384" s="109"/>
      <c r="C384" s="109"/>
      <c r="D384" s="277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09"/>
      <c r="B385" s="109"/>
      <c r="C385" s="109"/>
      <c r="D385" s="277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09"/>
      <c r="B386" s="109"/>
      <c r="C386" s="109"/>
      <c r="D386" s="277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09"/>
      <c r="B387" s="109"/>
      <c r="C387" s="109"/>
      <c r="D387" s="277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09"/>
      <c r="B388" s="109"/>
      <c r="C388" s="109"/>
      <c r="D388" s="277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09"/>
      <c r="B389" s="109"/>
      <c r="C389" s="109"/>
      <c r="D389" s="277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09"/>
      <c r="B390" s="109"/>
      <c r="C390" s="109"/>
      <c r="D390" s="277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09"/>
      <c r="B391" s="109"/>
      <c r="C391" s="109"/>
      <c r="D391" s="277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09"/>
      <c r="B392" s="109"/>
      <c r="C392" s="109"/>
      <c r="D392" s="277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09"/>
      <c r="B393" s="109"/>
      <c r="C393" s="109"/>
      <c r="D393" s="277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09"/>
      <c r="B394" s="109"/>
      <c r="C394" s="109"/>
      <c r="D394" s="277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09"/>
      <c r="B395" s="109"/>
      <c r="C395" s="109"/>
      <c r="D395" s="277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09"/>
      <c r="B396" s="109"/>
      <c r="C396" s="109"/>
      <c r="D396" s="277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09"/>
      <c r="B397" s="109"/>
      <c r="C397" s="109"/>
      <c r="D397" s="277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09"/>
      <c r="B398" s="109"/>
      <c r="C398" s="109"/>
      <c r="D398" s="277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09"/>
      <c r="B399" s="109"/>
      <c r="C399" s="109"/>
      <c r="D399" s="277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09"/>
      <c r="B400" s="109"/>
      <c r="C400" s="109"/>
      <c r="D400" s="277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09"/>
      <c r="B401" s="109"/>
      <c r="C401" s="109"/>
      <c r="D401" s="277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09"/>
      <c r="B402" s="109"/>
      <c r="C402" s="109"/>
      <c r="D402" s="277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09"/>
      <c r="B403" s="109"/>
      <c r="C403" s="109"/>
      <c r="D403" s="277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09"/>
      <c r="B404" s="109"/>
      <c r="C404" s="109"/>
      <c r="D404" s="277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09"/>
      <c r="B405" s="109"/>
      <c r="C405" s="109"/>
      <c r="D405" s="277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09"/>
      <c r="B406" s="109"/>
      <c r="C406" s="109"/>
      <c r="D406" s="277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09"/>
      <c r="B407" s="109"/>
      <c r="C407" s="109"/>
      <c r="D407" s="277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09"/>
      <c r="B408" s="109"/>
      <c r="C408" s="109"/>
      <c r="D408" s="277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09"/>
      <c r="B409" s="109"/>
      <c r="C409" s="109"/>
      <c r="D409" s="277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09"/>
      <c r="B410" s="109"/>
      <c r="C410" s="109"/>
      <c r="D410" s="277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09"/>
      <c r="B411" s="109"/>
      <c r="C411" s="109"/>
      <c r="D411" s="277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09"/>
      <c r="B412" s="109"/>
      <c r="C412" s="109"/>
      <c r="D412" s="277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09"/>
      <c r="B413" s="109"/>
      <c r="C413" s="109"/>
      <c r="D413" s="277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09"/>
      <c r="B414" s="109"/>
      <c r="C414" s="109"/>
      <c r="D414" s="277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09"/>
      <c r="B415" s="109"/>
      <c r="C415" s="109"/>
      <c r="D415" s="277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09"/>
      <c r="B416" s="109"/>
      <c r="C416" s="109"/>
      <c r="D416" s="277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09"/>
      <c r="B417" s="109"/>
      <c r="C417" s="109"/>
      <c r="D417" s="277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09"/>
      <c r="B418" s="109"/>
      <c r="C418" s="109"/>
      <c r="D418" s="277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09"/>
      <c r="B419" s="109"/>
      <c r="C419" s="109"/>
      <c r="D419" s="277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09"/>
      <c r="B420" s="109"/>
      <c r="C420" s="109"/>
      <c r="D420" s="277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09"/>
      <c r="B421" s="109"/>
      <c r="C421" s="109"/>
      <c r="D421" s="277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09"/>
      <c r="B422" s="109"/>
      <c r="C422" s="109"/>
      <c r="D422" s="277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09"/>
      <c r="B423" s="109"/>
      <c r="C423" s="109"/>
      <c r="D423" s="277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09"/>
      <c r="B424" s="109"/>
      <c r="C424" s="109"/>
      <c r="D424" s="277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09"/>
      <c r="B425" s="109"/>
      <c r="C425" s="109"/>
      <c r="D425" s="277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09"/>
      <c r="B426" s="109"/>
      <c r="C426" s="109"/>
      <c r="D426" s="277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09"/>
      <c r="B427" s="109"/>
      <c r="C427" s="109"/>
      <c r="D427" s="277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09"/>
      <c r="B428" s="109"/>
      <c r="C428" s="109"/>
      <c r="D428" s="277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09"/>
      <c r="B429" s="109"/>
      <c r="C429" s="109"/>
      <c r="D429" s="277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09"/>
      <c r="B430" s="109"/>
      <c r="C430" s="109"/>
      <c r="D430" s="277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09"/>
      <c r="B431" s="109"/>
      <c r="C431" s="109"/>
      <c r="D431" s="277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09"/>
      <c r="B432" s="109"/>
      <c r="C432" s="109"/>
      <c r="D432" s="277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09"/>
      <c r="B433" s="109"/>
      <c r="C433" s="109"/>
      <c r="D433" s="277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09"/>
      <c r="B434" s="109"/>
      <c r="C434" s="109"/>
      <c r="D434" s="277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09"/>
      <c r="B435" s="109"/>
      <c r="C435" s="109"/>
      <c r="D435" s="277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09"/>
      <c r="B436" s="109"/>
      <c r="C436" s="109"/>
      <c r="D436" s="277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09"/>
      <c r="B437" s="109"/>
      <c r="C437" s="109"/>
      <c r="D437" s="277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09"/>
      <c r="B438" s="109"/>
      <c r="C438" s="109"/>
      <c r="D438" s="277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09"/>
      <c r="B439" s="109"/>
      <c r="C439" s="109"/>
      <c r="D439" s="277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09"/>
      <c r="B440" s="109"/>
      <c r="C440" s="109"/>
      <c r="D440" s="277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09"/>
      <c r="B441" s="109"/>
      <c r="C441" s="109"/>
      <c r="D441" s="277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09"/>
      <c r="B442" s="109"/>
      <c r="C442" s="109"/>
      <c r="D442" s="277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09"/>
      <c r="B443" s="109"/>
      <c r="C443" s="109"/>
      <c r="D443" s="277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09"/>
      <c r="B444" s="109"/>
      <c r="C444" s="109"/>
      <c r="D444" s="277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09"/>
      <c r="B445" s="109"/>
      <c r="C445" s="109"/>
      <c r="D445" s="277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09"/>
      <c r="B446" s="109"/>
      <c r="C446" s="109"/>
      <c r="D446" s="277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09"/>
      <c r="B447" s="109"/>
      <c r="C447" s="109"/>
      <c r="D447" s="277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09"/>
      <c r="B448" s="109"/>
      <c r="C448" s="109"/>
      <c r="D448" s="277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09"/>
      <c r="B449" s="109"/>
      <c r="C449" s="109"/>
      <c r="D449" s="277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09"/>
      <c r="B450" s="109"/>
      <c r="C450" s="109"/>
      <c r="D450" s="277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09"/>
      <c r="B451" s="109"/>
      <c r="C451" s="109"/>
      <c r="D451" s="277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09"/>
      <c r="B452" s="109"/>
      <c r="C452" s="109"/>
      <c r="D452" s="277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09"/>
      <c r="B453" s="109"/>
      <c r="C453" s="109"/>
      <c r="D453" s="277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09"/>
      <c r="B454" s="109"/>
      <c r="C454" s="109"/>
      <c r="D454" s="277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09"/>
      <c r="B455" s="109"/>
      <c r="C455" s="109"/>
      <c r="D455" s="277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09"/>
      <c r="B456" s="109"/>
      <c r="C456" s="109"/>
      <c r="D456" s="277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09"/>
      <c r="B457" s="109"/>
      <c r="C457" s="109"/>
      <c r="D457" s="277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09"/>
      <c r="B458" s="109"/>
      <c r="C458" s="109"/>
      <c r="D458" s="277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09"/>
      <c r="B459" s="109"/>
      <c r="C459" s="109"/>
      <c r="D459" s="277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09"/>
      <c r="B460" s="109"/>
      <c r="C460" s="109"/>
      <c r="D460" s="277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09"/>
      <c r="B461" s="109"/>
      <c r="C461" s="109"/>
      <c r="D461" s="277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09"/>
      <c r="B462" s="109"/>
      <c r="C462" s="109"/>
      <c r="D462" s="277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09"/>
      <c r="B463" s="109"/>
      <c r="C463" s="109"/>
      <c r="D463" s="277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09"/>
      <c r="B464" s="109"/>
      <c r="C464" s="109"/>
      <c r="D464" s="277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09"/>
      <c r="B465" s="109"/>
      <c r="C465" s="109"/>
      <c r="D465" s="277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09"/>
      <c r="B466" s="109"/>
      <c r="C466" s="109"/>
      <c r="D466" s="277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09"/>
      <c r="B467" s="109"/>
      <c r="C467" s="109"/>
      <c r="D467" s="277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09"/>
      <c r="B468" s="109"/>
      <c r="C468" s="109"/>
      <c r="D468" s="277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09"/>
      <c r="B469" s="109"/>
      <c r="C469" s="109"/>
      <c r="D469" s="277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09"/>
      <c r="B470" s="109"/>
      <c r="C470" s="109"/>
      <c r="D470" s="277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09"/>
      <c r="B471" s="109"/>
      <c r="C471" s="109"/>
      <c r="D471" s="277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09"/>
      <c r="B472" s="109"/>
      <c r="C472" s="109"/>
      <c r="D472" s="277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09"/>
      <c r="B473" s="109"/>
      <c r="C473" s="109"/>
      <c r="D473" s="277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09"/>
      <c r="B474" s="109"/>
      <c r="C474" s="109"/>
      <c r="D474" s="277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09"/>
      <c r="B475" s="109"/>
      <c r="C475" s="109"/>
      <c r="D475" s="277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09"/>
      <c r="B476" s="109"/>
      <c r="C476" s="109"/>
      <c r="D476" s="277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09"/>
      <c r="B477" s="109"/>
      <c r="C477" s="109"/>
      <c r="D477" s="277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09"/>
      <c r="B478" s="109"/>
      <c r="C478" s="109"/>
      <c r="D478" s="277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09"/>
      <c r="B479" s="109"/>
      <c r="C479" s="109"/>
      <c r="D479" s="277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09"/>
      <c r="B480" s="109"/>
      <c r="C480" s="109"/>
      <c r="D480" s="277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09"/>
      <c r="B481" s="109"/>
      <c r="C481" s="109"/>
      <c r="D481" s="277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09"/>
      <c r="B482" s="109"/>
      <c r="C482" s="109"/>
      <c r="D482" s="277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09"/>
      <c r="B483" s="109"/>
      <c r="C483" s="109"/>
      <c r="D483" s="277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09"/>
      <c r="B484" s="109"/>
      <c r="C484" s="109"/>
      <c r="D484" s="277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09"/>
      <c r="B485" s="109"/>
      <c r="C485" s="109"/>
      <c r="D485" s="277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09"/>
      <c r="B486" s="109"/>
      <c r="C486" s="109"/>
      <c r="D486" s="277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09"/>
      <c r="B487" s="109"/>
      <c r="C487" s="109"/>
      <c r="D487" s="277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09"/>
      <c r="B488" s="109"/>
      <c r="C488" s="109"/>
      <c r="D488" s="277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09"/>
      <c r="B489" s="109"/>
      <c r="C489" s="109"/>
      <c r="D489" s="277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09"/>
      <c r="B490" s="109"/>
      <c r="C490" s="109"/>
      <c r="D490" s="277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09"/>
      <c r="B491" s="109"/>
      <c r="C491" s="109"/>
      <c r="D491" s="277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09"/>
      <c r="B492" s="109"/>
      <c r="C492" s="109"/>
      <c r="D492" s="277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09"/>
      <c r="B493" s="109"/>
      <c r="C493" s="109"/>
      <c r="D493" s="277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09"/>
      <c r="B494" s="109"/>
      <c r="C494" s="109"/>
      <c r="D494" s="277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09"/>
      <c r="B495" s="109"/>
      <c r="C495" s="109"/>
      <c r="D495" s="277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09"/>
      <c r="B496" s="109"/>
      <c r="C496" s="109"/>
      <c r="D496" s="277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09"/>
      <c r="B497" s="109"/>
      <c r="C497" s="109"/>
      <c r="D497" s="277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09"/>
      <c r="B498" s="109"/>
      <c r="C498" s="109"/>
      <c r="D498" s="277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09"/>
      <c r="B499" s="109"/>
      <c r="C499" s="109"/>
      <c r="D499" s="277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09"/>
      <c r="B500" s="109"/>
      <c r="C500" s="109"/>
      <c r="D500" s="277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09"/>
      <c r="B501" s="109"/>
      <c r="C501" s="109"/>
      <c r="D501" s="277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09"/>
      <c r="B502" s="109"/>
      <c r="C502" s="109"/>
      <c r="D502" s="277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09"/>
      <c r="B503" s="109"/>
      <c r="C503" s="109"/>
      <c r="D503" s="277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09"/>
      <c r="B504" s="109"/>
      <c r="C504" s="109"/>
      <c r="D504" s="277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09"/>
      <c r="B505" s="109"/>
      <c r="C505" s="109"/>
      <c r="D505" s="277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09"/>
      <c r="B506" s="109"/>
      <c r="C506" s="109"/>
      <c r="D506" s="277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09"/>
      <c r="B507" s="109"/>
      <c r="C507" s="109"/>
      <c r="D507" s="277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09"/>
      <c r="B508" s="109"/>
      <c r="C508" s="109"/>
      <c r="D508" s="277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09"/>
      <c r="B509" s="109"/>
      <c r="C509" s="109"/>
      <c r="D509" s="277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09"/>
      <c r="B510" s="109"/>
      <c r="C510" s="109"/>
      <c r="D510" s="277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09"/>
      <c r="B511" s="109"/>
      <c r="C511" s="109"/>
      <c r="D511" s="277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09"/>
      <c r="B512" s="109"/>
      <c r="C512" s="109"/>
      <c r="D512" s="277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09"/>
      <c r="B513" s="109"/>
      <c r="C513" s="109"/>
      <c r="D513" s="277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09"/>
      <c r="B514" s="109"/>
      <c r="C514" s="109"/>
      <c r="D514" s="277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09"/>
      <c r="B515" s="109"/>
      <c r="C515" s="109"/>
      <c r="D515" s="277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09"/>
      <c r="B516" s="109"/>
      <c r="C516" s="109"/>
      <c r="D516" s="277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09"/>
      <c r="B517" s="109"/>
      <c r="C517" s="109"/>
      <c r="D517" s="277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09"/>
      <c r="B518" s="109"/>
      <c r="C518" s="109"/>
      <c r="D518" s="277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09"/>
      <c r="B519" s="109"/>
      <c r="C519" s="109"/>
      <c r="D519" s="277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09"/>
      <c r="B520" s="109"/>
      <c r="C520" s="109"/>
      <c r="D520" s="277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09"/>
      <c r="B521" s="109"/>
      <c r="C521" s="109"/>
      <c r="D521" s="277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09"/>
      <c r="B522" s="109"/>
      <c r="C522" s="109"/>
      <c r="D522" s="277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09"/>
      <c r="B523" s="109"/>
      <c r="C523" s="109"/>
      <c r="D523" s="277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09"/>
      <c r="B524" s="109"/>
      <c r="C524" s="109"/>
      <c r="D524" s="277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09"/>
      <c r="B525" s="109"/>
      <c r="C525" s="109"/>
      <c r="D525" s="277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09"/>
      <c r="B526" s="109"/>
      <c r="C526" s="109"/>
      <c r="D526" s="277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09"/>
      <c r="B527" s="109"/>
      <c r="C527" s="109"/>
      <c r="D527" s="277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09"/>
      <c r="B528" s="109"/>
      <c r="C528" s="109"/>
      <c r="D528" s="277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09"/>
      <c r="B529" s="109"/>
      <c r="C529" s="109"/>
      <c r="D529" s="277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09"/>
      <c r="B530" s="109"/>
      <c r="C530" s="109"/>
      <c r="D530" s="277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09"/>
      <c r="B531" s="109"/>
      <c r="C531" s="109"/>
      <c r="D531" s="277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09"/>
      <c r="B532" s="109"/>
      <c r="C532" s="109"/>
      <c r="D532" s="277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09"/>
      <c r="B533" s="109"/>
      <c r="C533" s="109"/>
      <c r="D533" s="277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09"/>
      <c r="B534" s="109"/>
      <c r="C534" s="109"/>
      <c r="D534" s="277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09"/>
      <c r="B535" s="109"/>
      <c r="C535" s="109"/>
      <c r="D535" s="277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09"/>
      <c r="B536" s="109"/>
      <c r="C536" s="109"/>
      <c r="D536" s="277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09"/>
      <c r="B537" s="109"/>
      <c r="C537" s="109"/>
      <c r="D537" s="277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09"/>
      <c r="B538" s="109"/>
      <c r="C538" s="109"/>
      <c r="D538" s="277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09"/>
      <c r="B539" s="109"/>
      <c r="C539" s="109"/>
      <c r="D539" s="277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09"/>
      <c r="B540" s="109"/>
      <c r="C540" s="109"/>
      <c r="D540" s="277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09"/>
      <c r="B541" s="109"/>
      <c r="C541" s="109"/>
      <c r="D541" s="277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09"/>
      <c r="B542" s="109"/>
      <c r="C542" s="109"/>
      <c r="D542" s="277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09"/>
      <c r="B543" s="109"/>
      <c r="C543" s="109"/>
      <c r="D543" s="277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09"/>
      <c r="B544" s="109"/>
      <c r="C544" s="109"/>
      <c r="D544" s="277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09"/>
      <c r="B545" s="109"/>
      <c r="C545" s="109"/>
      <c r="D545" s="277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09"/>
      <c r="B546" s="109"/>
      <c r="C546" s="109"/>
      <c r="D546" s="277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09"/>
      <c r="B547" s="109"/>
      <c r="C547" s="109"/>
      <c r="D547" s="277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09"/>
      <c r="B548" s="109"/>
      <c r="C548" s="109"/>
      <c r="D548" s="277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09"/>
      <c r="B549" s="109"/>
      <c r="C549" s="109"/>
      <c r="D549" s="277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09"/>
      <c r="B550" s="109"/>
      <c r="C550" s="109"/>
      <c r="D550" s="277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09"/>
      <c r="B551" s="109"/>
      <c r="C551" s="109"/>
      <c r="D551" s="277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09"/>
      <c r="B552" s="109"/>
      <c r="C552" s="109"/>
      <c r="D552" s="277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09"/>
      <c r="B553" s="109"/>
      <c r="C553" s="109"/>
      <c r="D553" s="277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09"/>
      <c r="B554" s="109"/>
      <c r="C554" s="109"/>
      <c r="D554" s="277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09"/>
      <c r="B555" s="109"/>
      <c r="C555" s="109"/>
      <c r="D555" s="277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09"/>
      <c r="B556" s="109"/>
      <c r="C556" s="109"/>
      <c r="D556" s="277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09"/>
      <c r="B557" s="109"/>
      <c r="C557" s="109"/>
      <c r="D557" s="277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09"/>
      <c r="B558" s="109"/>
      <c r="C558" s="109"/>
      <c r="D558" s="277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09"/>
      <c r="B559" s="109"/>
      <c r="C559" s="109"/>
      <c r="D559" s="277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09"/>
      <c r="B560" s="109"/>
      <c r="C560" s="109"/>
      <c r="D560" s="277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09"/>
      <c r="B561" s="109"/>
      <c r="C561" s="109"/>
      <c r="D561" s="277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09"/>
      <c r="B562" s="109"/>
      <c r="C562" s="109"/>
      <c r="D562" s="277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09"/>
      <c r="B563" s="109"/>
      <c r="C563" s="109"/>
      <c r="D563" s="277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09"/>
      <c r="B564" s="109"/>
      <c r="C564" s="109"/>
      <c r="D564" s="277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09"/>
      <c r="B565" s="109"/>
      <c r="C565" s="109"/>
      <c r="D565" s="277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09"/>
      <c r="B566" s="109"/>
      <c r="C566" s="109"/>
      <c r="D566" s="277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09"/>
      <c r="B567" s="109"/>
      <c r="C567" s="109"/>
      <c r="D567" s="277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09"/>
      <c r="B568" s="109"/>
      <c r="C568" s="109"/>
      <c r="D568" s="277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09"/>
      <c r="B569" s="109"/>
      <c r="C569" s="109"/>
      <c r="D569" s="277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09"/>
      <c r="B570" s="109"/>
      <c r="C570" s="109"/>
      <c r="D570" s="277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09"/>
      <c r="B571" s="109"/>
      <c r="C571" s="109"/>
      <c r="D571" s="277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09"/>
      <c r="B572" s="109"/>
      <c r="C572" s="109"/>
      <c r="D572" s="277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09"/>
      <c r="B573" s="109"/>
      <c r="C573" s="109"/>
      <c r="D573" s="277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09"/>
      <c r="B574" s="109"/>
      <c r="C574" s="109"/>
      <c r="D574" s="277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09"/>
      <c r="B575" s="109"/>
      <c r="C575" s="109"/>
      <c r="D575" s="277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09"/>
      <c r="B576" s="109"/>
      <c r="C576" s="109"/>
      <c r="D576" s="277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09"/>
      <c r="B577" s="109"/>
      <c r="C577" s="109"/>
      <c r="D577" s="277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09"/>
      <c r="B578" s="109"/>
      <c r="C578" s="109"/>
      <c r="D578" s="277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09"/>
      <c r="B579" s="109"/>
      <c r="C579" s="109"/>
      <c r="D579" s="277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09"/>
      <c r="B580" s="109"/>
      <c r="C580" s="109"/>
      <c r="D580" s="277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09"/>
      <c r="B581" s="109"/>
      <c r="C581" s="109"/>
      <c r="D581" s="277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09"/>
      <c r="B582" s="109"/>
      <c r="C582" s="109"/>
      <c r="D582" s="277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09"/>
      <c r="B583" s="109"/>
      <c r="C583" s="109"/>
      <c r="D583" s="277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09"/>
      <c r="B584" s="109"/>
      <c r="C584" s="109"/>
      <c r="D584" s="277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09"/>
      <c r="B585" s="109"/>
      <c r="C585" s="109"/>
      <c r="D585" s="277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09"/>
      <c r="B586" s="109"/>
      <c r="C586" s="109"/>
      <c r="D586" s="277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09"/>
      <c r="B587" s="109"/>
      <c r="C587" s="109"/>
      <c r="D587" s="277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09"/>
      <c r="B588" s="109"/>
      <c r="C588" s="109"/>
      <c r="D588" s="277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09"/>
      <c r="B589" s="109"/>
      <c r="C589" s="109"/>
      <c r="D589" s="277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09"/>
      <c r="B590" s="109"/>
      <c r="C590" s="109"/>
      <c r="D590" s="277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09"/>
      <c r="B591" s="109"/>
      <c r="C591" s="109"/>
      <c r="D591" s="277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09"/>
      <c r="B592" s="109"/>
      <c r="C592" s="109"/>
      <c r="D592" s="277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09"/>
      <c r="B593" s="109"/>
      <c r="C593" s="109"/>
      <c r="D593" s="277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09"/>
      <c r="B594" s="109"/>
      <c r="C594" s="109"/>
      <c r="D594" s="277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09"/>
      <c r="B595" s="109"/>
      <c r="C595" s="109"/>
      <c r="D595" s="277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09"/>
      <c r="B596" s="109"/>
      <c r="C596" s="109"/>
      <c r="D596" s="277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09"/>
      <c r="B597" s="109"/>
      <c r="C597" s="109"/>
      <c r="D597" s="277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09"/>
      <c r="B598" s="109"/>
      <c r="C598" s="109"/>
      <c r="D598" s="277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09"/>
      <c r="B599" s="109"/>
      <c r="C599" s="109"/>
      <c r="D599" s="277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09"/>
      <c r="B600" s="109"/>
      <c r="C600" s="109"/>
      <c r="D600" s="277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09"/>
      <c r="B601" s="109"/>
      <c r="C601" s="109"/>
      <c r="D601" s="277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09"/>
      <c r="B602" s="109"/>
      <c r="C602" s="109"/>
      <c r="D602" s="277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09"/>
      <c r="B603" s="109"/>
      <c r="C603" s="109"/>
      <c r="D603" s="277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09"/>
      <c r="B604" s="109"/>
      <c r="C604" s="109"/>
      <c r="D604" s="277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09"/>
      <c r="B605" s="109"/>
      <c r="C605" s="109"/>
      <c r="D605" s="277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09"/>
      <c r="B606" s="109"/>
      <c r="C606" s="109"/>
      <c r="D606" s="277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09"/>
      <c r="B607" s="109"/>
      <c r="C607" s="109"/>
      <c r="D607" s="277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09"/>
      <c r="B608" s="109"/>
      <c r="C608" s="109"/>
      <c r="D608" s="277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09"/>
      <c r="B609" s="109"/>
      <c r="C609" s="109"/>
      <c r="D609" s="277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09"/>
      <c r="B610" s="109"/>
      <c r="C610" s="109"/>
      <c r="D610" s="277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09"/>
      <c r="B611" s="109"/>
      <c r="C611" s="109"/>
      <c r="D611" s="277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09"/>
      <c r="B612" s="109"/>
      <c r="C612" s="109"/>
      <c r="D612" s="277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09"/>
      <c r="B613" s="109"/>
      <c r="C613" s="109"/>
      <c r="D613" s="277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09"/>
      <c r="B614" s="109"/>
      <c r="C614" s="109"/>
      <c r="D614" s="277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09"/>
      <c r="B615" s="109"/>
      <c r="C615" s="109"/>
      <c r="D615" s="277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09"/>
      <c r="B616" s="109"/>
      <c r="C616" s="109"/>
      <c r="D616" s="277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09"/>
      <c r="B617" s="109"/>
      <c r="C617" s="109"/>
      <c r="D617" s="277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09"/>
      <c r="B618" s="109"/>
      <c r="C618" s="109"/>
      <c r="D618" s="277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09"/>
      <c r="B619" s="109"/>
      <c r="C619" s="109"/>
      <c r="D619" s="277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09"/>
      <c r="B620" s="109"/>
      <c r="C620" s="109"/>
      <c r="D620" s="277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09"/>
      <c r="B621" s="109"/>
      <c r="C621" s="109"/>
      <c r="D621" s="277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09"/>
      <c r="B622" s="109"/>
      <c r="C622" s="109"/>
      <c r="D622" s="277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09"/>
      <c r="B623" s="109"/>
      <c r="C623" s="109"/>
      <c r="D623" s="277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09"/>
      <c r="B624" s="109"/>
      <c r="C624" s="109"/>
      <c r="D624" s="277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09"/>
      <c r="B625" s="109"/>
      <c r="C625" s="109"/>
      <c r="D625" s="277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09"/>
      <c r="B626" s="109"/>
      <c r="C626" s="109"/>
      <c r="D626" s="277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09"/>
      <c r="B627" s="109"/>
      <c r="C627" s="109"/>
      <c r="D627" s="277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09"/>
      <c r="B628" s="109"/>
      <c r="C628" s="109"/>
      <c r="D628" s="277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09"/>
      <c r="B629" s="109"/>
      <c r="C629" s="109"/>
      <c r="D629" s="277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09"/>
      <c r="B630" s="109"/>
      <c r="C630" s="109"/>
      <c r="D630" s="277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09"/>
      <c r="B631" s="109"/>
      <c r="C631" s="109"/>
      <c r="D631" s="277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09"/>
      <c r="B632" s="109"/>
      <c r="C632" s="109"/>
      <c r="D632" s="277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09"/>
      <c r="B633" s="109"/>
      <c r="C633" s="109"/>
      <c r="D633" s="277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09"/>
      <c r="B634" s="109"/>
      <c r="C634" s="109"/>
      <c r="D634" s="277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09"/>
      <c r="B635" s="109"/>
      <c r="C635" s="109"/>
      <c r="D635" s="277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09"/>
      <c r="B636" s="109"/>
      <c r="C636" s="109"/>
      <c r="D636" s="277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09"/>
      <c r="B637" s="109"/>
      <c r="C637" s="109"/>
      <c r="D637" s="277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09"/>
      <c r="B638" s="109"/>
      <c r="C638" s="109"/>
      <c r="D638" s="277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09"/>
      <c r="B639" s="109"/>
      <c r="C639" s="109"/>
      <c r="D639" s="277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09"/>
      <c r="B640" s="109"/>
      <c r="C640" s="109"/>
      <c r="D640" s="277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09"/>
      <c r="B641" s="109"/>
      <c r="C641" s="109"/>
      <c r="D641" s="277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09"/>
      <c r="B642" s="109"/>
      <c r="C642" s="109"/>
      <c r="D642" s="277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09"/>
      <c r="B643" s="109"/>
      <c r="C643" s="109"/>
      <c r="D643" s="277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09"/>
      <c r="B644" s="109"/>
      <c r="C644" s="109"/>
      <c r="D644" s="277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09"/>
      <c r="B645" s="109"/>
      <c r="C645" s="109"/>
      <c r="D645" s="277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09"/>
      <c r="B646" s="109"/>
      <c r="C646" s="109"/>
      <c r="D646" s="277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09"/>
      <c r="B647" s="109"/>
      <c r="C647" s="109"/>
      <c r="D647" s="277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09"/>
      <c r="B648" s="109"/>
      <c r="C648" s="109"/>
      <c r="D648" s="277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09"/>
      <c r="B649" s="109"/>
      <c r="C649" s="109"/>
      <c r="D649" s="277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09"/>
      <c r="B650" s="109"/>
      <c r="C650" s="109"/>
      <c r="D650" s="277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09"/>
      <c r="B651" s="109"/>
      <c r="C651" s="109"/>
      <c r="D651" s="277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09"/>
      <c r="B652" s="109"/>
      <c r="C652" s="109"/>
      <c r="D652" s="277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09"/>
      <c r="B653" s="109"/>
      <c r="C653" s="109"/>
      <c r="D653" s="277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09"/>
      <c r="B654" s="109"/>
      <c r="C654" s="109"/>
      <c r="D654" s="277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09"/>
      <c r="B655" s="109"/>
      <c r="C655" s="109"/>
      <c r="D655" s="277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09"/>
      <c r="B656" s="109"/>
      <c r="C656" s="109"/>
      <c r="D656" s="277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09"/>
      <c r="B657" s="109"/>
      <c r="C657" s="109"/>
      <c r="D657" s="277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09"/>
      <c r="B658" s="109"/>
      <c r="C658" s="109"/>
      <c r="D658" s="277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09"/>
      <c r="B659" s="109"/>
      <c r="C659" s="109"/>
      <c r="D659" s="277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09"/>
      <c r="B660" s="109"/>
      <c r="C660" s="109"/>
      <c r="D660" s="277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09"/>
      <c r="B661" s="109"/>
      <c r="C661" s="109"/>
      <c r="D661" s="277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09"/>
      <c r="B662" s="109"/>
      <c r="C662" s="109"/>
      <c r="D662" s="277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09"/>
      <c r="B663" s="109"/>
      <c r="C663" s="109"/>
      <c r="D663" s="277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09"/>
      <c r="B664" s="109"/>
      <c r="C664" s="109"/>
      <c r="D664" s="277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09"/>
      <c r="B665" s="109"/>
      <c r="C665" s="109"/>
      <c r="D665" s="277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09"/>
      <c r="B666" s="109"/>
      <c r="C666" s="109"/>
      <c r="D666" s="277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09"/>
      <c r="B667" s="109"/>
      <c r="C667" s="109"/>
      <c r="D667" s="277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09"/>
      <c r="B668" s="109"/>
      <c r="C668" s="109"/>
      <c r="D668" s="277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09"/>
      <c r="B669" s="109"/>
      <c r="C669" s="109"/>
      <c r="D669" s="277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09"/>
      <c r="B670" s="109"/>
      <c r="C670" s="109"/>
      <c r="D670" s="277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09"/>
      <c r="B671" s="109"/>
      <c r="C671" s="109"/>
      <c r="D671" s="277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09"/>
      <c r="B672" s="109"/>
      <c r="C672" s="109"/>
      <c r="D672" s="277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09"/>
      <c r="B673" s="109"/>
      <c r="C673" s="109"/>
      <c r="D673" s="277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09"/>
      <c r="B674" s="109"/>
      <c r="C674" s="109"/>
      <c r="D674" s="277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09"/>
      <c r="B675" s="109"/>
      <c r="C675" s="109"/>
      <c r="D675" s="277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09"/>
      <c r="B676" s="109"/>
      <c r="C676" s="109"/>
      <c r="D676" s="277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09"/>
      <c r="B677" s="109"/>
      <c r="C677" s="109"/>
      <c r="D677" s="277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09"/>
      <c r="B678" s="109"/>
      <c r="C678" s="109"/>
      <c r="D678" s="277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09"/>
      <c r="B679" s="109"/>
      <c r="C679" s="109"/>
      <c r="D679" s="277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09"/>
      <c r="B680" s="109"/>
      <c r="C680" s="109"/>
      <c r="D680" s="277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09"/>
      <c r="B681" s="109"/>
      <c r="C681" s="109"/>
      <c r="D681" s="277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09"/>
      <c r="B682" s="109"/>
      <c r="C682" s="109"/>
      <c r="D682" s="277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09"/>
      <c r="B683" s="109"/>
      <c r="C683" s="109"/>
      <c r="D683" s="277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09"/>
      <c r="B684" s="109"/>
      <c r="C684" s="109"/>
      <c r="D684" s="277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09"/>
      <c r="B685" s="109"/>
      <c r="C685" s="109"/>
      <c r="D685" s="277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09"/>
      <c r="B686" s="109"/>
      <c r="C686" s="109"/>
      <c r="D686" s="277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09"/>
      <c r="B687" s="109"/>
      <c r="C687" s="109"/>
      <c r="D687" s="277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09"/>
      <c r="B688" s="109"/>
      <c r="C688" s="109"/>
      <c r="D688" s="277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09"/>
      <c r="B689" s="109"/>
      <c r="C689" s="109"/>
      <c r="D689" s="277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09"/>
      <c r="B690" s="109"/>
      <c r="C690" s="109"/>
      <c r="D690" s="277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09"/>
      <c r="B691" s="109"/>
      <c r="C691" s="109"/>
      <c r="D691" s="277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09"/>
      <c r="B692" s="109"/>
      <c r="C692" s="109"/>
      <c r="D692" s="277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09"/>
      <c r="B693" s="109"/>
      <c r="C693" s="109"/>
      <c r="D693" s="277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09"/>
      <c r="B694" s="109"/>
      <c r="C694" s="109"/>
      <c r="D694" s="277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09"/>
      <c r="B695" s="109"/>
      <c r="C695" s="109"/>
      <c r="D695" s="277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09"/>
      <c r="B696" s="109"/>
      <c r="C696" s="109"/>
      <c r="D696" s="277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09"/>
      <c r="B697" s="109"/>
      <c r="C697" s="109"/>
      <c r="D697" s="277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09"/>
      <c r="B698" s="109"/>
      <c r="C698" s="109"/>
      <c r="D698" s="277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09"/>
      <c r="B699" s="109"/>
      <c r="C699" s="109"/>
      <c r="D699" s="277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09"/>
      <c r="B700" s="109"/>
      <c r="C700" s="109"/>
      <c r="D700" s="277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09"/>
      <c r="B701" s="109"/>
      <c r="C701" s="109"/>
      <c r="D701" s="277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09"/>
      <c r="B702" s="109"/>
      <c r="C702" s="109"/>
      <c r="D702" s="277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09"/>
      <c r="B703" s="109"/>
      <c r="C703" s="109"/>
      <c r="D703" s="277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09"/>
      <c r="B704" s="109"/>
      <c r="C704" s="109"/>
      <c r="D704" s="277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09"/>
      <c r="B705" s="109"/>
      <c r="C705" s="109"/>
      <c r="D705" s="277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09"/>
      <c r="B706" s="109"/>
      <c r="C706" s="109"/>
      <c r="D706" s="277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09"/>
      <c r="B707" s="109"/>
      <c r="C707" s="109"/>
      <c r="D707" s="277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09"/>
      <c r="B708" s="109"/>
      <c r="C708" s="109"/>
      <c r="D708" s="277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09"/>
      <c r="B709" s="109"/>
      <c r="C709" s="109"/>
      <c r="D709" s="277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09"/>
      <c r="B710" s="109"/>
      <c r="C710" s="109"/>
      <c r="D710" s="277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09"/>
      <c r="B711" s="109"/>
      <c r="C711" s="109"/>
      <c r="D711" s="277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09"/>
      <c r="B712" s="109"/>
      <c r="C712" s="109"/>
      <c r="D712" s="277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09"/>
      <c r="B713" s="109"/>
      <c r="C713" s="109"/>
      <c r="D713" s="277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09"/>
      <c r="B714" s="109"/>
      <c r="C714" s="109"/>
      <c r="D714" s="277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09"/>
      <c r="B715" s="109"/>
      <c r="C715" s="109"/>
      <c r="D715" s="277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09"/>
      <c r="B716" s="109"/>
      <c r="C716" s="109"/>
      <c r="D716" s="277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09"/>
      <c r="B717" s="109"/>
      <c r="C717" s="109"/>
      <c r="D717" s="277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09"/>
      <c r="B718" s="109"/>
      <c r="C718" s="109"/>
      <c r="D718" s="277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09"/>
      <c r="B719" s="109"/>
      <c r="C719" s="109"/>
      <c r="D719" s="277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09"/>
      <c r="B720" s="109"/>
      <c r="C720" s="109"/>
      <c r="D720" s="277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09"/>
      <c r="B721" s="109"/>
      <c r="C721" s="109"/>
      <c r="D721" s="277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09"/>
      <c r="B722" s="109"/>
      <c r="C722" s="109"/>
      <c r="D722" s="277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09"/>
      <c r="B723" s="109"/>
      <c r="C723" s="109"/>
      <c r="D723" s="277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09"/>
      <c r="B724" s="109"/>
      <c r="C724" s="109"/>
      <c r="D724" s="277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09"/>
      <c r="B725" s="109"/>
      <c r="C725" s="109"/>
      <c r="D725" s="277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09"/>
      <c r="B726" s="109"/>
      <c r="C726" s="109"/>
      <c r="D726" s="277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09"/>
      <c r="B727" s="109"/>
      <c r="C727" s="109"/>
      <c r="D727" s="277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09"/>
      <c r="B728" s="109"/>
      <c r="C728" s="109"/>
      <c r="D728" s="277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09"/>
      <c r="B729" s="109"/>
      <c r="C729" s="109"/>
      <c r="D729" s="277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09"/>
      <c r="B730" s="109"/>
      <c r="C730" s="109"/>
      <c r="D730" s="277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09"/>
      <c r="B731" s="109"/>
      <c r="C731" s="109"/>
      <c r="D731" s="277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09"/>
      <c r="B732" s="109"/>
      <c r="C732" s="109"/>
      <c r="D732" s="277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09"/>
      <c r="B733" s="109"/>
      <c r="C733" s="109"/>
      <c r="D733" s="277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09"/>
      <c r="B734" s="109"/>
      <c r="C734" s="109"/>
      <c r="D734" s="277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09"/>
      <c r="B735" s="109"/>
      <c r="C735" s="109"/>
      <c r="D735" s="277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09"/>
      <c r="B736" s="109"/>
      <c r="C736" s="109"/>
      <c r="D736" s="277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09"/>
      <c r="B737" s="109"/>
      <c r="C737" s="109"/>
      <c r="D737" s="277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09"/>
      <c r="B738" s="109"/>
      <c r="C738" s="109"/>
      <c r="D738" s="277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09"/>
      <c r="B739" s="109"/>
      <c r="C739" s="109"/>
      <c r="D739" s="277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09"/>
      <c r="B740" s="109"/>
      <c r="C740" s="109"/>
      <c r="D740" s="277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09"/>
      <c r="B741" s="109"/>
      <c r="C741" s="109"/>
      <c r="D741" s="277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09"/>
      <c r="B742" s="109"/>
      <c r="C742" s="109"/>
      <c r="D742" s="277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09"/>
      <c r="B743" s="109"/>
      <c r="C743" s="109"/>
      <c r="D743" s="277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09"/>
      <c r="B744" s="109"/>
      <c r="C744" s="109"/>
      <c r="D744" s="277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09"/>
      <c r="B745" s="109"/>
      <c r="C745" s="109"/>
      <c r="D745" s="277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09"/>
      <c r="B746" s="109"/>
      <c r="C746" s="109"/>
      <c r="D746" s="277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09"/>
      <c r="B747" s="109"/>
      <c r="C747" s="109"/>
      <c r="D747" s="277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09"/>
      <c r="B748" s="109"/>
      <c r="C748" s="109"/>
      <c r="D748" s="277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09"/>
      <c r="B749" s="109"/>
      <c r="C749" s="109"/>
      <c r="D749" s="277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09"/>
      <c r="B750" s="109"/>
      <c r="C750" s="109"/>
      <c r="D750" s="277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09"/>
      <c r="B751" s="109"/>
      <c r="C751" s="109"/>
      <c r="D751" s="277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09"/>
      <c r="B752" s="109"/>
      <c r="C752" s="109"/>
      <c r="D752" s="277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09"/>
      <c r="B753" s="109"/>
      <c r="C753" s="109"/>
      <c r="D753" s="277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09"/>
      <c r="B754" s="109"/>
      <c r="C754" s="109"/>
      <c r="D754" s="277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09"/>
      <c r="B755" s="109"/>
      <c r="C755" s="109"/>
      <c r="D755" s="277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09"/>
      <c r="B756" s="109"/>
      <c r="C756" s="109"/>
      <c r="D756" s="277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09"/>
      <c r="B757" s="109"/>
      <c r="C757" s="109"/>
      <c r="D757" s="277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09"/>
      <c r="B758" s="109"/>
      <c r="C758" s="109"/>
      <c r="D758" s="277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09"/>
      <c r="B759" s="109"/>
      <c r="C759" s="109"/>
      <c r="D759" s="277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09"/>
      <c r="B760" s="109"/>
      <c r="C760" s="109"/>
      <c r="D760" s="277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09"/>
      <c r="B761" s="109"/>
      <c r="C761" s="109"/>
      <c r="D761" s="277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09"/>
      <c r="B762" s="109"/>
      <c r="C762" s="109"/>
      <c r="D762" s="277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09"/>
      <c r="B763" s="109"/>
      <c r="C763" s="109"/>
      <c r="D763" s="277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09"/>
      <c r="B764" s="109"/>
      <c r="C764" s="109"/>
      <c r="D764" s="277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09"/>
      <c r="B765" s="109"/>
      <c r="C765" s="109"/>
      <c r="D765" s="277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09"/>
      <c r="B766" s="109"/>
      <c r="C766" s="109"/>
      <c r="D766" s="277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09"/>
      <c r="B767" s="109"/>
      <c r="C767" s="109"/>
      <c r="D767" s="277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09"/>
      <c r="B768" s="109"/>
      <c r="C768" s="109"/>
      <c r="D768" s="277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09"/>
      <c r="B769" s="109"/>
      <c r="C769" s="109"/>
      <c r="D769" s="277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09"/>
      <c r="B770" s="109"/>
      <c r="C770" s="109"/>
      <c r="D770" s="277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09"/>
      <c r="B771" s="109"/>
      <c r="C771" s="109"/>
      <c r="D771" s="277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09"/>
      <c r="B772" s="109"/>
      <c r="C772" s="109"/>
      <c r="D772" s="277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09"/>
      <c r="B773" s="109"/>
      <c r="C773" s="109"/>
      <c r="D773" s="277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09"/>
      <c r="B774" s="109"/>
      <c r="C774" s="109"/>
      <c r="D774" s="277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09"/>
      <c r="B775" s="109"/>
      <c r="C775" s="109"/>
      <c r="D775" s="277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09"/>
      <c r="B776" s="109"/>
      <c r="C776" s="109"/>
      <c r="D776" s="277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09"/>
      <c r="B777" s="109"/>
      <c r="C777" s="109"/>
      <c r="D777" s="277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09"/>
      <c r="B778" s="109"/>
      <c r="C778" s="109"/>
      <c r="D778" s="277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09"/>
      <c r="B779" s="109"/>
      <c r="C779" s="109"/>
      <c r="D779" s="277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09"/>
      <c r="B780" s="109"/>
      <c r="C780" s="109"/>
      <c r="D780" s="277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09"/>
      <c r="B781" s="109"/>
      <c r="C781" s="109"/>
      <c r="D781" s="277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09"/>
      <c r="B782" s="109"/>
      <c r="C782" s="109"/>
      <c r="D782" s="277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09"/>
      <c r="B783" s="109"/>
      <c r="C783" s="109"/>
      <c r="D783" s="277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09"/>
      <c r="B784" s="109"/>
      <c r="C784" s="109"/>
      <c r="D784" s="277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09"/>
      <c r="B785" s="109"/>
      <c r="C785" s="109"/>
      <c r="D785" s="277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09"/>
      <c r="B786" s="109"/>
      <c r="C786" s="109"/>
      <c r="D786" s="277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09"/>
      <c r="B787" s="109"/>
      <c r="C787" s="109"/>
      <c r="D787" s="277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09"/>
      <c r="B788" s="109"/>
      <c r="C788" s="109"/>
      <c r="D788" s="277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09"/>
      <c r="B789" s="109"/>
      <c r="C789" s="109"/>
      <c r="D789" s="277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09"/>
      <c r="B790" s="109"/>
      <c r="C790" s="109"/>
      <c r="D790" s="277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09"/>
      <c r="B791" s="109"/>
      <c r="C791" s="109"/>
      <c r="D791" s="277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09"/>
      <c r="B792" s="109"/>
      <c r="C792" s="109"/>
      <c r="D792" s="277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09"/>
      <c r="B793" s="109"/>
      <c r="C793" s="109"/>
      <c r="D793" s="277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09"/>
      <c r="B794" s="109"/>
      <c r="C794" s="109"/>
      <c r="D794" s="277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09"/>
      <c r="B795" s="109"/>
      <c r="C795" s="109"/>
      <c r="D795" s="277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09"/>
      <c r="B796" s="109"/>
      <c r="C796" s="109"/>
      <c r="D796" s="277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09"/>
      <c r="B797" s="109"/>
      <c r="C797" s="109"/>
      <c r="D797" s="277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09"/>
      <c r="B798" s="109"/>
      <c r="C798" s="109"/>
      <c r="D798" s="277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09"/>
      <c r="B799" s="109"/>
      <c r="C799" s="109"/>
      <c r="D799" s="277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09"/>
      <c r="B800" s="109"/>
      <c r="C800" s="109"/>
      <c r="D800" s="277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09"/>
      <c r="B801" s="109"/>
      <c r="C801" s="109"/>
      <c r="D801" s="277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09"/>
      <c r="B802" s="109"/>
      <c r="C802" s="109"/>
      <c r="D802" s="277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09"/>
      <c r="B803" s="109"/>
      <c r="C803" s="109"/>
      <c r="D803" s="277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09"/>
      <c r="B804" s="109"/>
      <c r="C804" s="109"/>
      <c r="D804" s="277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09"/>
      <c r="B805" s="109"/>
      <c r="C805" s="109"/>
      <c r="D805" s="277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09"/>
      <c r="B806" s="109"/>
      <c r="C806" s="109"/>
      <c r="D806" s="277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09"/>
      <c r="B807" s="109"/>
      <c r="C807" s="109"/>
      <c r="D807" s="277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09"/>
      <c r="B808" s="109"/>
      <c r="C808" s="109"/>
      <c r="D808" s="277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09"/>
      <c r="B809" s="109"/>
      <c r="C809" s="109"/>
      <c r="D809" s="277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09"/>
      <c r="B810" s="109"/>
      <c r="C810" s="109"/>
      <c r="D810" s="277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09"/>
      <c r="B811" s="109"/>
      <c r="C811" s="109"/>
      <c r="D811" s="277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09"/>
      <c r="B812" s="109"/>
      <c r="C812" s="109"/>
      <c r="D812" s="277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09"/>
      <c r="B813" s="109"/>
      <c r="C813" s="109"/>
      <c r="D813" s="277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09"/>
      <c r="B814" s="109"/>
      <c r="C814" s="109"/>
      <c r="D814" s="277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09"/>
      <c r="B815" s="109"/>
      <c r="C815" s="109"/>
      <c r="D815" s="277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09"/>
      <c r="B816" s="109"/>
      <c r="C816" s="109"/>
      <c r="D816" s="277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09"/>
      <c r="B817" s="109"/>
      <c r="C817" s="109"/>
      <c r="D817" s="277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09"/>
      <c r="B818" s="109"/>
      <c r="C818" s="109"/>
      <c r="D818" s="277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09"/>
      <c r="B819" s="109"/>
      <c r="C819" s="109"/>
      <c r="D819" s="277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09"/>
      <c r="B820" s="109"/>
      <c r="C820" s="109"/>
      <c r="D820" s="277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09"/>
      <c r="B821" s="109"/>
      <c r="C821" s="109"/>
      <c r="D821" s="277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09"/>
      <c r="B822" s="109"/>
      <c r="C822" s="109"/>
      <c r="D822" s="277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09"/>
      <c r="B823" s="109"/>
      <c r="C823" s="109"/>
      <c r="D823" s="277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09"/>
      <c r="B824" s="109"/>
      <c r="C824" s="109"/>
      <c r="D824" s="277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09"/>
      <c r="B825" s="109"/>
      <c r="C825" s="109"/>
      <c r="D825" s="277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09"/>
      <c r="B826" s="109"/>
      <c r="C826" s="109"/>
      <c r="D826" s="277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09"/>
      <c r="B827" s="109"/>
      <c r="C827" s="109"/>
      <c r="D827" s="277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09"/>
      <c r="B828" s="109"/>
      <c r="C828" s="109"/>
      <c r="D828" s="277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09"/>
      <c r="B829" s="109"/>
      <c r="C829" s="109"/>
      <c r="D829" s="277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09"/>
      <c r="B830" s="109"/>
      <c r="C830" s="109"/>
      <c r="D830" s="277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09"/>
      <c r="B831" s="109"/>
      <c r="C831" s="109"/>
      <c r="D831" s="277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09"/>
      <c r="B832" s="109"/>
      <c r="C832" s="109"/>
      <c r="D832" s="277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09"/>
      <c r="B833" s="109"/>
      <c r="C833" s="109"/>
      <c r="D833" s="277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09"/>
      <c r="B834" s="109"/>
      <c r="C834" s="109"/>
      <c r="D834" s="277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09"/>
      <c r="B835" s="109"/>
      <c r="C835" s="109"/>
      <c r="D835" s="277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09"/>
      <c r="B836" s="109"/>
      <c r="C836" s="109"/>
      <c r="D836" s="277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09"/>
      <c r="B837" s="109"/>
      <c r="C837" s="109"/>
      <c r="D837" s="277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09"/>
      <c r="B838" s="109"/>
      <c r="C838" s="109"/>
      <c r="D838" s="277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09"/>
      <c r="B839" s="109"/>
      <c r="C839" s="109"/>
      <c r="D839" s="277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09"/>
      <c r="B840" s="109"/>
      <c r="C840" s="109"/>
      <c r="D840" s="277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09"/>
      <c r="B841" s="109"/>
      <c r="C841" s="109"/>
      <c r="D841" s="277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09"/>
      <c r="B842" s="109"/>
      <c r="C842" s="109"/>
      <c r="D842" s="277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09"/>
      <c r="B843" s="109"/>
      <c r="C843" s="109"/>
      <c r="D843" s="277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09"/>
      <c r="B844" s="109"/>
      <c r="C844" s="109"/>
      <c r="D844" s="277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09"/>
      <c r="B845" s="109"/>
      <c r="C845" s="109"/>
      <c r="D845" s="277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09"/>
      <c r="B846" s="109"/>
      <c r="C846" s="109"/>
      <c r="D846" s="277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09"/>
      <c r="B847" s="109"/>
      <c r="C847" s="109"/>
      <c r="D847" s="277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09"/>
      <c r="B848" s="109"/>
      <c r="C848" s="109"/>
      <c r="D848" s="277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09"/>
      <c r="B849" s="109"/>
      <c r="C849" s="109"/>
      <c r="D849" s="277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09"/>
      <c r="B850" s="109"/>
      <c r="C850" s="109"/>
      <c r="D850" s="277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09"/>
      <c r="B851" s="109"/>
      <c r="C851" s="109"/>
      <c r="D851" s="277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09"/>
      <c r="B852" s="109"/>
      <c r="C852" s="109"/>
      <c r="D852" s="277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09"/>
      <c r="B853" s="109"/>
      <c r="C853" s="109"/>
      <c r="D853" s="277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09"/>
      <c r="B854" s="109"/>
      <c r="C854" s="109"/>
      <c r="D854" s="277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09"/>
      <c r="B855" s="109"/>
      <c r="C855" s="109"/>
      <c r="D855" s="277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09"/>
      <c r="B856" s="109"/>
      <c r="C856" s="109"/>
      <c r="D856" s="277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09"/>
      <c r="B857" s="109"/>
      <c r="C857" s="109"/>
      <c r="D857" s="277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09"/>
      <c r="B858" s="109"/>
      <c r="C858" s="109"/>
      <c r="D858" s="277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09"/>
      <c r="B859" s="109"/>
      <c r="C859" s="109"/>
      <c r="D859" s="277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09"/>
      <c r="B860" s="109"/>
      <c r="C860" s="109"/>
      <c r="D860" s="277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09"/>
      <c r="B861" s="109"/>
      <c r="C861" s="109"/>
      <c r="D861" s="277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09"/>
      <c r="B862" s="109"/>
      <c r="C862" s="109"/>
      <c r="D862" s="277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09"/>
      <c r="B863" s="109"/>
      <c r="C863" s="109"/>
      <c r="D863" s="277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09"/>
      <c r="B864" s="109"/>
      <c r="C864" s="109"/>
      <c r="D864" s="277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09"/>
      <c r="B865" s="109"/>
      <c r="C865" s="109"/>
      <c r="D865" s="277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09"/>
      <c r="B866" s="109"/>
      <c r="C866" s="109"/>
      <c r="D866" s="277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09"/>
      <c r="B867" s="109"/>
      <c r="C867" s="109"/>
      <c r="D867" s="277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09"/>
      <c r="B868" s="109"/>
      <c r="C868" s="109"/>
      <c r="D868" s="277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09"/>
      <c r="B869" s="109"/>
      <c r="C869" s="109"/>
      <c r="D869" s="277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09"/>
      <c r="B870" s="109"/>
      <c r="C870" s="109"/>
      <c r="D870" s="277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09"/>
      <c r="B871" s="109"/>
      <c r="C871" s="109"/>
      <c r="D871" s="277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09"/>
      <c r="B872" s="109"/>
      <c r="C872" s="109"/>
      <c r="D872" s="277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09"/>
      <c r="B873" s="109"/>
      <c r="C873" s="109"/>
      <c r="D873" s="277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09"/>
      <c r="B874" s="109"/>
      <c r="C874" s="109"/>
      <c r="D874" s="277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09"/>
      <c r="B875" s="109"/>
      <c r="C875" s="109"/>
      <c r="D875" s="277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09"/>
      <c r="B876" s="109"/>
      <c r="C876" s="109"/>
      <c r="D876" s="277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09"/>
      <c r="B877" s="109"/>
      <c r="C877" s="109"/>
      <c r="D877" s="277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09"/>
      <c r="B878" s="109"/>
      <c r="C878" s="109"/>
      <c r="D878" s="277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09"/>
      <c r="B879" s="109"/>
      <c r="C879" s="109"/>
      <c r="D879" s="277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09"/>
      <c r="B880" s="109"/>
      <c r="C880" s="109"/>
      <c r="D880" s="277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09"/>
      <c r="B881" s="109"/>
      <c r="C881" s="109"/>
      <c r="D881" s="277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09"/>
      <c r="B882" s="109"/>
      <c r="C882" s="109"/>
      <c r="D882" s="277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09"/>
      <c r="B883" s="109"/>
      <c r="C883" s="109"/>
      <c r="D883" s="277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09"/>
      <c r="B884" s="109"/>
      <c r="C884" s="109"/>
      <c r="D884" s="277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09"/>
      <c r="B885" s="109"/>
      <c r="C885" s="109"/>
      <c r="D885" s="277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09"/>
      <c r="B886" s="109"/>
      <c r="C886" s="109"/>
      <c r="D886" s="277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09"/>
      <c r="B887" s="109"/>
      <c r="C887" s="109"/>
      <c r="D887" s="277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09"/>
      <c r="B888" s="109"/>
      <c r="C888" s="109"/>
      <c r="D888" s="277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09"/>
      <c r="B889" s="109"/>
      <c r="C889" s="109"/>
      <c r="D889" s="277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09"/>
      <c r="B890" s="109"/>
      <c r="C890" s="109"/>
      <c r="D890" s="277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09"/>
      <c r="B891" s="109"/>
      <c r="C891" s="109"/>
      <c r="D891" s="277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09"/>
      <c r="B892" s="109"/>
      <c r="C892" s="109"/>
      <c r="D892" s="277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09"/>
      <c r="B893" s="109"/>
      <c r="C893" s="109"/>
      <c r="D893" s="277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09"/>
      <c r="B894" s="109"/>
      <c r="C894" s="109"/>
      <c r="D894" s="277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09"/>
      <c r="B895" s="109"/>
      <c r="C895" s="109"/>
      <c r="D895" s="277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09"/>
      <c r="B896" s="109"/>
      <c r="C896" s="109"/>
      <c r="D896" s="277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09"/>
      <c r="B897" s="109"/>
      <c r="C897" s="109"/>
      <c r="D897" s="277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09"/>
      <c r="B898" s="109"/>
      <c r="C898" s="109"/>
      <c r="D898" s="277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09"/>
      <c r="B899" s="109"/>
      <c r="C899" s="109"/>
      <c r="D899" s="277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09"/>
      <c r="B900" s="109"/>
      <c r="C900" s="109"/>
      <c r="D900" s="277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09"/>
      <c r="B901" s="109"/>
      <c r="C901" s="109"/>
      <c r="D901" s="277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09"/>
      <c r="B902" s="109"/>
      <c r="C902" s="109"/>
      <c r="D902" s="277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09"/>
      <c r="B903" s="109"/>
      <c r="C903" s="109"/>
      <c r="D903" s="277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09"/>
      <c r="B904" s="109"/>
      <c r="C904" s="109"/>
      <c r="D904" s="277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09"/>
      <c r="B905" s="109"/>
      <c r="C905" s="109"/>
      <c r="D905" s="277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09"/>
      <c r="B906" s="109"/>
      <c r="C906" s="109"/>
      <c r="D906" s="277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09"/>
      <c r="B907" s="109"/>
      <c r="C907" s="109"/>
      <c r="D907" s="277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09"/>
      <c r="B908" s="109"/>
      <c r="C908" s="109"/>
      <c r="D908" s="277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09"/>
      <c r="B909" s="109"/>
      <c r="C909" s="109"/>
      <c r="D909" s="277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09"/>
      <c r="B910" s="109"/>
      <c r="C910" s="109"/>
      <c r="D910" s="277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09"/>
      <c r="B911" s="109"/>
      <c r="C911" s="109"/>
      <c r="D911" s="277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09"/>
      <c r="B912" s="109"/>
      <c r="C912" s="109"/>
      <c r="D912" s="277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09"/>
      <c r="B913" s="109"/>
      <c r="C913" s="109"/>
      <c r="D913" s="277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09"/>
      <c r="B914" s="109"/>
      <c r="C914" s="109"/>
      <c r="D914" s="277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09"/>
      <c r="B915" s="109"/>
      <c r="C915" s="109"/>
      <c r="D915" s="277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09"/>
      <c r="B916" s="109"/>
      <c r="C916" s="109"/>
      <c r="D916" s="277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09"/>
      <c r="B917" s="109"/>
      <c r="C917" s="109"/>
      <c r="D917" s="277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09"/>
      <c r="B918" s="109"/>
      <c r="C918" s="109"/>
      <c r="D918" s="277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09"/>
      <c r="B919" s="109"/>
      <c r="C919" s="109"/>
      <c r="D919" s="277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09"/>
      <c r="B920" s="109"/>
      <c r="C920" s="109"/>
      <c r="D920" s="277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09"/>
      <c r="B921" s="109"/>
      <c r="C921" s="109"/>
      <c r="D921" s="277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09"/>
      <c r="B922" s="109"/>
      <c r="C922" s="109"/>
      <c r="D922" s="277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09"/>
      <c r="B923" s="109"/>
      <c r="C923" s="109"/>
      <c r="D923" s="277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09"/>
      <c r="B924" s="109"/>
      <c r="C924" s="109"/>
      <c r="D924" s="277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09"/>
      <c r="B925" s="109"/>
      <c r="C925" s="109"/>
      <c r="D925" s="277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09"/>
      <c r="B926" s="109"/>
      <c r="C926" s="109"/>
      <c r="D926" s="277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09"/>
      <c r="B927" s="109"/>
      <c r="C927" s="109"/>
      <c r="D927" s="277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09"/>
      <c r="B928" s="109"/>
      <c r="C928" s="109"/>
      <c r="D928" s="277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09"/>
      <c r="B929" s="109"/>
      <c r="C929" s="109"/>
      <c r="D929" s="277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09"/>
      <c r="B930" s="109"/>
      <c r="C930" s="109"/>
      <c r="D930" s="277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09"/>
      <c r="B931" s="109"/>
      <c r="C931" s="109"/>
      <c r="D931" s="277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09"/>
      <c r="B932" s="109"/>
      <c r="C932" s="109"/>
      <c r="D932" s="277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09"/>
      <c r="B933" s="109"/>
      <c r="C933" s="109"/>
      <c r="D933" s="277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09"/>
      <c r="B934" s="109"/>
      <c r="C934" s="109"/>
      <c r="D934" s="277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09"/>
      <c r="B935" s="109"/>
      <c r="C935" s="109"/>
      <c r="D935" s="277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09"/>
      <c r="B936" s="109"/>
      <c r="C936" s="109"/>
      <c r="D936" s="277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09"/>
      <c r="B937" s="109"/>
      <c r="C937" s="109"/>
      <c r="D937" s="277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09"/>
      <c r="B938" s="109"/>
      <c r="C938" s="109"/>
      <c r="D938" s="277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09"/>
      <c r="B939" s="109"/>
      <c r="C939" s="109"/>
      <c r="D939" s="277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09"/>
      <c r="B940" s="109"/>
      <c r="C940" s="109"/>
      <c r="D940" s="277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09"/>
      <c r="B941" s="109"/>
      <c r="C941" s="109"/>
      <c r="D941" s="277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09"/>
      <c r="B942" s="109"/>
      <c r="C942" s="109"/>
      <c r="D942" s="277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09"/>
      <c r="B943" s="109"/>
      <c r="C943" s="109"/>
      <c r="D943" s="277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09"/>
      <c r="B944" s="109"/>
      <c r="C944" s="109"/>
      <c r="D944" s="277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09"/>
      <c r="B945" s="109"/>
      <c r="C945" s="109"/>
      <c r="D945" s="277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09"/>
      <c r="B946" s="109"/>
      <c r="C946" s="109"/>
      <c r="D946" s="277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09"/>
      <c r="B947" s="109"/>
      <c r="C947" s="109"/>
      <c r="D947" s="277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09"/>
      <c r="B948" s="109"/>
      <c r="C948" s="109"/>
      <c r="D948" s="277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09"/>
      <c r="B949" s="109"/>
      <c r="C949" s="109"/>
      <c r="D949" s="277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09"/>
      <c r="B950" s="109"/>
      <c r="C950" s="109"/>
      <c r="D950" s="277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09"/>
      <c r="B951" s="109"/>
      <c r="C951" s="109"/>
      <c r="D951" s="277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09"/>
      <c r="B952" s="109"/>
      <c r="C952" s="109"/>
      <c r="D952" s="277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09"/>
      <c r="B953" s="109"/>
      <c r="C953" s="109"/>
      <c r="D953" s="277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09"/>
      <c r="B954" s="109"/>
      <c r="C954" s="109"/>
      <c r="D954" s="277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09"/>
      <c r="B955" s="109"/>
      <c r="C955" s="109"/>
      <c r="D955" s="277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09"/>
      <c r="B956" s="109"/>
      <c r="C956" s="109"/>
      <c r="D956" s="277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09"/>
      <c r="B957" s="109"/>
      <c r="C957" s="109"/>
      <c r="D957" s="277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09"/>
      <c r="B958" s="109"/>
      <c r="C958" s="109"/>
      <c r="D958" s="277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09"/>
      <c r="B959" s="109"/>
      <c r="C959" s="109"/>
      <c r="D959" s="277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09"/>
      <c r="B960" s="109"/>
      <c r="C960" s="109"/>
      <c r="D960" s="277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09"/>
      <c r="B961" s="109"/>
      <c r="C961" s="109"/>
      <c r="D961" s="277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09"/>
      <c r="B962" s="109"/>
      <c r="C962" s="109"/>
      <c r="D962" s="277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09"/>
      <c r="B963" s="109"/>
      <c r="C963" s="109"/>
      <c r="D963" s="277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09"/>
      <c r="B964" s="109"/>
      <c r="C964" s="109"/>
      <c r="D964" s="277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09"/>
      <c r="B965" s="109"/>
      <c r="C965" s="109"/>
      <c r="D965" s="277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09"/>
      <c r="B966" s="109"/>
      <c r="C966" s="109"/>
      <c r="D966" s="277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09"/>
      <c r="B967" s="109"/>
      <c r="C967" s="109"/>
      <c r="D967" s="277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09"/>
      <c r="B968" s="109"/>
      <c r="C968" s="109"/>
      <c r="D968" s="277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09"/>
      <c r="B969" s="109"/>
      <c r="C969" s="109"/>
      <c r="D969" s="277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09"/>
      <c r="B970" s="109"/>
      <c r="C970" s="109"/>
      <c r="D970" s="277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09"/>
      <c r="B971" s="109"/>
      <c r="C971" s="109"/>
      <c r="D971" s="277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09"/>
      <c r="B972" s="109"/>
      <c r="C972" s="109"/>
      <c r="D972" s="277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09"/>
      <c r="B973" s="109"/>
      <c r="C973" s="109"/>
      <c r="D973" s="277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09"/>
      <c r="B974" s="109"/>
      <c r="C974" s="109"/>
      <c r="D974" s="277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09"/>
      <c r="B975" s="109"/>
      <c r="C975" s="109"/>
      <c r="D975" s="277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09"/>
      <c r="B976" s="109"/>
      <c r="C976" s="109"/>
      <c r="D976" s="277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09"/>
      <c r="B977" s="109"/>
      <c r="C977" s="109"/>
      <c r="D977" s="277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09"/>
      <c r="B978" s="109"/>
      <c r="C978" s="109"/>
      <c r="D978" s="277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09"/>
      <c r="B979" s="109"/>
      <c r="C979" s="109"/>
      <c r="D979" s="277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09"/>
      <c r="B980" s="109"/>
      <c r="C980" s="109"/>
      <c r="D980" s="277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09"/>
      <c r="B981" s="109"/>
      <c r="C981" s="109"/>
      <c r="D981" s="277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09"/>
      <c r="B982" s="109"/>
      <c r="C982" s="109"/>
      <c r="D982" s="277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09"/>
      <c r="B983" s="109"/>
      <c r="C983" s="109"/>
      <c r="D983" s="277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09"/>
      <c r="B984" s="109"/>
      <c r="C984" s="109"/>
      <c r="D984" s="277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09"/>
      <c r="B985" s="109"/>
      <c r="C985" s="109"/>
      <c r="D985" s="277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09"/>
      <c r="B986" s="109"/>
      <c r="C986" s="109"/>
      <c r="D986" s="277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09"/>
      <c r="B987" s="109"/>
      <c r="C987" s="109"/>
      <c r="D987" s="277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09"/>
      <c r="B988" s="109"/>
      <c r="C988" s="109"/>
      <c r="D988" s="277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09"/>
      <c r="B989" s="109"/>
      <c r="C989" s="109"/>
      <c r="D989" s="277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</sheetData>
  <drawing r:id="rId1"/>
</worksheet>
</file>