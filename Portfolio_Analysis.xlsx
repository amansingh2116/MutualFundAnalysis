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mans\Downloads\"/>
    </mc:Choice>
  </mc:AlternateContent>
  <xr:revisionPtr revIDLastSave="0" documentId="13_ncr:1_{03258B95-0C46-4CA3-9697-97674BD5D8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ortfolio  Holdings" sheetId="1" r:id="rId1"/>
    <sheet name="MF holdings and transactions" sheetId="2" r:id="rId2"/>
    <sheet name="MF CAS" sheetId="3" r:id="rId3"/>
    <sheet name="Stocks Transaction" sheetId="4" r:id="rId4"/>
  </sheets>
  <definedNames>
    <definedName name="_xlnm._FilterDatabase" localSheetId="0" hidden="1">'Portfolio  Holdings'!$B$3:$C$291</definedName>
    <definedName name="_xlnm._FilterDatabase" localSheetId="3" hidden="1">'Stocks Transaction'!$E$49:$F$100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4" l="1"/>
  <c r="E99" i="4"/>
  <c r="A68" i="4"/>
  <c r="C60" i="4"/>
  <c r="J50" i="4"/>
  <c r="I50" i="4"/>
  <c r="F45" i="4"/>
  <c r="H44" i="4"/>
  <c r="I44" i="4" s="1"/>
  <c r="J44" i="4" s="1"/>
  <c r="G44" i="4"/>
  <c r="H43" i="4"/>
  <c r="I43" i="4" s="1"/>
  <c r="J43" i="4" s="1"/>
  <c r="G43" i="4"/>
  <c r="H42" i="4"/>
  <c r="I42" i="4" s="1"/>
  <c r="J42" i="4" s="1"/>
  <c r="G42" i="4"/>
  <c r="H41" i="4"/>
  <c r="I41" i="4" s="1"/>
  <c r="J41" i="4" s="1"/>
  <c r="G41" i="4"/>
  <c r="H40" i="4"/>
  <c r="I40" i="4" s="1"/>
  <c r="J40" i="4" s="1"/>
  <c r="G40" i="4"/>
  <c r="H39" i="4"/>
  <c r="I39" i="4" s="1"/>
  <c r="J39" i="4" s="1"/>
  <c r="G39" i="4"/>
  <c r="H38" i="4"/>
  <c r="I38" i="4" s="1"/>
  <c r="G38" i="4"/>
  <c r="K37" i="4"/>
  <c r="K36" i="4"/>
  <c r="J23" i="4"/>
  <c r="J22" i="4"/>
  <c r="I22" i="4"/>
  <c r="F22" i="4"/>
  <c r="A5" i="4"/>
  <c r="F362" i="3"/>
  <c r="C362" i="3"/>
  <c r="G361" i="3"/>
  <c r="G360" i="3"/>
  <c r="G359" i="3"/>
  <c r="G358" i="3"/>
  <c r="G350" i="3"/>
  <c r="F341" i="3"/>
  <c r="C341" i="3"/>
  <c r="G340" i="3"/>
  <c r="G339" i="3"/>
  <c r="G338" i="3"/>
  <c r="G337" i="3"/>
  <c r="G326" i="3"/>
  <c r="G318" i="3"/>
  <c r="G311" i="3"/>
  <c r="G304" i="3"/>
  <c r="F259" i="3"/>
  <c r="C259" i="3"/>
  <c r="G220" i="3"/>
  <c r="G127" i="3"/>
  <c r="F89" i="3"/>
  <c r="C89" i="3"/>
  <c r="G88" i="3"/>
  <c r="G87" i="3"/>
  <c r="G86" i="3"/>
  <c r="G85" i="3"/>
  <c r="G84" i="3"/>
  <c r="G51" i="3"/>
  <c r="G44" i="3"/>
  <c r="G14" i="3"/>
  <c r="J305" i="2"/>
  <c r="G303" i="2"/>
  <c r="D89" i="3" s="1"/>
  <c r="G302" i="2"/>
  <c r="D259" i="3" s="1"/>
  <c r="G301" i="2"/>
  <c r="D362" i="3" s="1"/>
  <c r="G300" i="2"/>
  <c r="K300" i="2" s="1"/>
  <c r="B295" i="2"/>
  <c r="A291" i="2"/>
  <c r="G15" i="1" s="1"/>
  <c r="G22" i="1" s="1"/>
  <c r="H282" i="2"/>
  <c r="B291" i="2" s="1"/>
  <c r="H15" i="1" s="1"/>
  <c r="H22" i="1" s="1"/>
  <c r="F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P264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H12" i="2"/>
  <c r="B10" i="2"/>
  <c r="D291" i="1"/>
  <c r="B291" i="1"/>
  <c r="E291" i="1" s="1"/>
  <c r="D290" i="1"/>
  <c r="B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H20" i="1"/>
  <c r="G20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K301" i="2" l="1"/>
  <c r="G362" i="3" s="1"/>
  <c r="G363" i="3" s="1"/>
  <c r="L301" i="2" s="1"/>
  <c r="K302" i="2"/>
  <c r="F100" i="4" s="1"/>
  <c r="F8" i="1"/>
  <c r="G2" i="1" s="1"/>
  <c r="K303" i="2"/>
  <c r="G341" i="3"/>
  <c r="G342" i="3" s="1"/>
  <c r="L300" i="2" s="1"/>
  <c r="F99" i="4"/>
  <c r="B68" i="4"/>
  <c r="I45" i="4"/>
  <c r="J38" i="4"/>
  <c r="D341" i="3"/>
  <c r="E290" i="1"/>
  <c r="C313" i="2" l="1"/>
  <c r="F102" i="4"/>
  <c r="C312" i="2"/>
  <c r="K305" i="2"/>
  <c r="G259" i="3"/>
  <c r="G260" i="3" s="1"/>
  <c r="L302" i="2" s="1"/>
  <c r="G89" i="3"/>
  <c r="G90" i="3" s="1"/>
  <c r="L303" i="2" s="1"/>
  <c r="C314" i="2"/>
  <c r="K50" i="4"/>
  <c r="I20" i="1" s="1"/>
  <c r="J45" i="4"/>
  <c r="J46" i="4" s="1"/>
  <c r="C290" i="1"/>
  <c r="B69" i="4"/>
  <c r="C291" i="2"/>
  <c r="I15" i="1" s="1"/>
  <c r="Q264" i="2"/>
  <c r="Q267" i="2" s="1"/>
  <c r="G282" i="2"/>
  <c r="B313" i="2" l="1"/>
  <c r="E313" i="2" s="1"/>
  <c r="F313" i="2" s="1"/>
  <c r="B314" i="2"/>
  <c r="E314" i="2" s="1"/>
  <c r="F314" i="2" s="1"/>
  <c r="B312" i="2"/>
  <c r="E312" i="2" s="1"/>
  <c r="F312" i="2" s="1"/>
  <c r="I22" i="1"/>
  <c r="J22" i="1" s="1"/>
  <c r="J23" i="1" s="1"/>
  <c r="C291" i="1"/>
  <c r="C293" i="1" s="1"/>
  <c r="D2" i="1" s="1"/>
  <c r="D29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000-000002000000}">
      <text>
        <r>
          <rPr>
            <sz val="10"/>
            <color rgb="FF000000"/>
            <rFont val="Arial"/>
            <scheme val="minor"/>
          </rPr>
          <t>starting date
	-Aman Singh</t>
        </r>
      </text>
    </comment>
    <comment ref="F5" authorId="0" shapeId="0" xr:uid="{00000000-0006-0000-0000-000001000000}">
      <text>
        <r>
          <rPr>
            <sz val="10"/>
            <color rgb="FF000000"/>
            <rFont val="Arial"/>
            <scheme val="minor"/>
          </rPr>
          <t>ending date
	-Aman Singh</t>
        </r>
      </text>
    </comment>
    <comment ref="F6" authorId="0" shapeId="0" xr:uid="{00000000-0006-0000-0000-000003000000}">
      <text>
        <r>
          <rPr>
            <sz val="10"/>
            <color rgb="FF000000"/>
            <rFont val="Arial"/>
            <scheme val="minor"/>
          </rPr>
          <t>starting price
	-Aman Singh</t>
        </r>
      </text>
    </comment>
    <comment ref="F7" authorId="0" shapeId="0" xr:uid="{00000000-0006-0000-0000-000004000000}">
      <text>
        <r>
          <rPr>
            <sz val="10"/>
            <color rgb="FF000000"/>
            <rFont val="Arial"/>
            <scheme val="minor"/>
          </rPr>
          <t>end price
	-Aman Singh</t>
        </r>
      </text>
    </comment>
    <comment ref="F8" authorId="0" shapeId="0" xr:uid="{00000000-0006-0000-0000-000005000000}">
      <text>
        <r>
          <rPr>
            <sz val="10"/>
            <color rgb="FF000000"/>
            <rFont val="Arial"/>
            <scheme val="minor"/>
          </rPr>
          <t>period
	-Aman Singh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scheme val="minor"/>
          </rPr>
          <t>Sold to buy at low, but forget and booked profit only
	-Aman Singh</t>
        </r>
      </text>
    </comment>
    <comment ref="B47" authorId="0" shapeId="0" xr:uid="{00000000-0006-0000-0100-00001F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48" authorId="0" shapeId="0" xr:uid="{00000000-0006-0000-0100-000020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49" authorId="0" shapeId="0" xr:uid="{00000000-0006-0000-0100-000029000000}">
      <text>
        <r>
          <rPr>
            <sz val="10"/>
            <color rgb="FF000000"/>
            <rFont val="Arial"/>
            <scheme val="minor"/>
          </rPr>
          <t>to invest at right time (bear market -8 to -10%)
	-Aman Singh
partial profit (4563)
	-Aman Singh</t>
        </r>
      </text>
    </comment>
    <comment ref="B58" authorId="0" shapeId="0" xr:uid="{00000000-0006-0000-0100-000025000000}">
      <text>
        <r>
          <rPr>
            <sz val="10"/>
            <color rgb="FF000000"/>
            <rFont val="Arial"/>
            <scheme val="minor"/>
          </rPr>
          <t>purchase from profit booked
	-Aman Singh</t>
        </r>
      </text>
    </comment>
    <comment ref="B59" authorId="0" shapeId="0" xr:uid="{00000000-0006-0000-0100-000024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64" authorId="0" shapeId="0" xr:uid="{00000000-0006-0000-0100-00000D000000}">
      <text>
        <r>
          <rPr>
            <sz val="10"/>
            <color rgb="FF000000"/>
            <rFont val="Arial"/>
            <scheme val="minor"/>
          </rPr>
          <t>to invest at right time (bear market)
	-Aman Singh
partial profit (5400)
	-Aman Singh</t>
        </r>
      </text>
    </comment>
    <comment ref="B65" authorId="0" shapeId="0" xr:uid="{00000000-0006-0000-0100-000021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66" authorId="0" shapeId="0" xr:uid="{00000000-0006-0000-0100-000022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67" authorId="0" shapeId="0" xr:uid="{00000000-0006-0000-0100-000023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68" authorId="0" shapeId="0" xr:uid="{00000000-0006-0000-0100-00000E000000}">
      <text>
        <r>
          <rPr>
            <sz val="10"/>
            <color rgb="FF000000"/>
            <rFont val="Arial"/>
            <scheme val="minor"/>
          </rPr>
          <t>to simplify investing and move more towards passive (index) investing
	-Aman Singh</t>
        </r>
      </text>
    </comment>
    <comment ref="B69" authorId="0" shapeId="0" xr:uid="{00000000-0006-0000-0100-00000F000000}">
      <text>
        <r>
          <rPr>
            <sz val="10"/>
            <color rgb="FF000000"/>
            <rFont val="Arial"/>
            <scheme val="minor"/>
          </rPr>
          <t>to simplify investing and move more towards passive (index) investing
	-Aman Singh</t>
        </r>
      </text>
    </comment>
    <comment ref="B70" authorId="0" shapeId="0" xr:uid="{00000000-0006-0000-0100-000010000000}">
      <text>
        <r>
          <rPr>
            <sz val="10"/>
            <color rgb="FF000000"/>
            <rFont val="Arial"/>
            <scheme val="minor"/>
          </rPr>
          <t>mistakenly invested so redeemed
	-Aman Singh</t>
        </r>
      </text>
    </comment>
    <comment ref="B75" authorId="0" shapeId="0" xr:uid="{00000000-0006-0000-0100-000011000000}">
      <text>
        <r>
          <rPr>
            <sz val="10"/>
            <color rgb="FF000000"/>
            <rFont val="Arial"/>
            <scheme val="minor"/>
          </rPr>
          <t>to invest at right time (bear market)
	-Aman Singh</t>
        </r>
      </text>
    </comment>
    <comment ref="B76" authorId="0" shapeId="0" xr:uid="{00000000-0006-0000-0100-000012000000}">
      <text>
        <r>
          <rPr>
            <sz val="10"/>
            <color rgb="FF000000"/>
            <rFont val="Arial"/>
            <scheme val="minor"/>
          </rPr>
          <t>to invest at right time (bear market)
	-Aman Singh</t>
        </r>
      </text>
    </comment>
    <comment ref="B77" authorId="0" shapeId="0" xr:uid="{00000000-0006-0000-0100-000013000000}">
      <text>
        <r>
          <rPr>
            <sz val="10"/>
            <color rgb="FF000000"/>
            <rFont val="Arial"/>
            <scheme val="minor"/>
          </rPr>
          <t>to invest at right time (bear market)
	-Aman Singh</t>
        </r>
      </text>
    </comment>
    <comment ref="B78" authorId="0" shapeId="0" xr:uid="{00000000-0006-0000-0100-000014000000}">
      <text>
        <r>
          <rPr>
            <sz val="10"/>
            <color rgb="FF000000"/>
            <rFont val="Arial"/>
            <scheme val="minor"/>
          </rPr>
          <t>to invest at right time (bear market)
	-Aman Singh</t>
        </r>
      </text>
    </comment>
    <comment ref="B81" authorId="0" shapeId="0" xr:uid="{00000000-0006-0000-0100-00000C000000}">
      <text>
        <r>
          <rPr>
            <sz val="10"/>
            <color rgb="FF000000"/>
            <rFont val="Arial"/>
            <scheme val="minor"/>
          </rPr>
          <t>mistakenly purchased
	-Aman Singh</t>
        </r>
      </text>
    </comment>
    <comment ref="B82" authorId="0" shapeId="0" xr:uid="{00000000-0006-0000-0100-000015000000}">
      <text>
        <r>
          <rPr>
            <sz val="10"/>
            <color rgb="FF000000"/>
            <rFont val="Arial"/>
            <scheme val="minor"/>
          </rPr>
          <t>to invest at right time (bear market)
	-Aman Singh</t>
        </r>
      </text>
    </comment>
    <comment ref="B99" authorId="0" shapeId="0" xr:uid="{00000000-0006-0000-0100-000003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100" authorId="0" shapeId="0" xr:uid="{00000000-0006-0000-0100-000002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101" authorId="0" shapeId="0" xr:uid="{00000000-0006-0000-0100-000016000000}">
      <text>
        <r>
          <rPr>
            <sz val="10"/>
            <color rgb="FF000000"/>
            <rFont val="Arial"/>
            <scheme val="minor"/>
          </rPr>
          <t>to park money for safety (volatile or too bullish market)
	-Aman Singh</t>
        </r>
      </text>
    </comment>
    <comment ref="B102" authorId="0" shapeId="0" xr:uid="{00000000-0006-0000-0100-000017000000}">
      <text>
        <r>
          <rPr>
            <sz val="10"/>
            <color rgb="FF000000"/>
            <rFont val="Arial"/>
            <scheme val="minor"/>
          </rPr>
          <t>to park money for safety (volatile or too bullish market)
	-Aman Singh</t>
        </r>
      </text>
    </comment>
    <comment ref="B107" authorId="0" shapeId="0" xr:uid="{00000000-0006-0000-0100-000006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108" authorId="0" shapeId="0" xr:uid="{00000000-0006-0000-0100-000005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109" authorId="0" shapeId="0" xr:uid="{00000000-0006-0000-0100-000004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110" authorId="0" shapeId="0" xr:uid="{00000000-0006-0000-0100-00001E000000}">
      <text>
        <r>
          <rPr>
            <sz val="10"/>
            <color rgb="FF000000"/>
            <rFont val="Arial"/>
            <scheme val="minor"/>
          </rPr>
          <t>to park money for safety (volatile or too bullish market)
	-Aman Singh</t>
        </r>
      </text>
    </comment>
    <comment ref="B111" authorId="0" shapeId="0" xr:uid="{00000000-0006-0000-0100-00001D000000}">
      <text>
        <r>
          <rPr>
            <sz val="10"/>
            <color rgb="FF000000"/>
            <rFont val="Arial"/>
            <scheme val="minor"/>
          </rPr>
          <t>to park money for safety (volatile or too bullish market)
	-Aman Singh</t>
        </r>
      </text>
    </comment>
    <comment ref="B112" authorId="0" shapeId="0" xr:uid="{00000000-0006-0000-0100-00001C000000}">
      <text>
        <r>
          <rPr>
            <sz val="10"/>
            <color rgb="FF000000"/>
            <rFont val="Arial"/>
            <scheme val="minor"/>
          </rPr>
          <t>to park money for safety (volatile or too bullish market)
	-Aman Singh</t>
        </r>
      </text>
    </comment>
    <comment ref="B232" authorId="0" shapeId="0" xr:uid="{00000000-0006-0000-0100-000008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233" authorId="0" shapeId="0" xr:uid="{00000000-0006-0000-0100-000007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234" authorId="0" shapeId="0" xr:uid="{00000000-0006-0000-0100-00001B000000}">
      <text>
        <r>
          <rPr>
            <sz val="10"/>
            <color rgb="FF000000"/>
            <rFont val="Arial"/>
            <scheme val="minor"/>
          </rPr>
          <t>to find more returns while increasing the risk (debt to flexicap)
	-Aman Singh</t>
        </r>
      </text>
    </comment>
    <comment ref="B235" authorId="0" shapeId="0" xr:uid="{00000000-0006-0000-0100-00001A000000}">
      <text>
        <r>
          <rPr>
            <sz val="10"/>
            <color rgb="FF000000"/>
            <rFont val="Arial"/>
            <scheme val="minor"/>
          </rPr>
          <t>to find more returns while increasing the risk (mid to small cap)
	-Aman Singh</t>
        </r>
      </text>
    </comment>
    <comment ref="B252" authorId="0" shapeId="0" xr:uid="{00000000-0006-0000-0100-000018000000}">
      <text>
        <r>
          <rPr>
            <sz val="10"/>
            <color rgb="FF000000"/>
            <rFont val="Arial"/>
            <scheme val="minor"/>
          </rPr>
          <t>to find more returns while increasing the risk (corporate bond to liquid fund)
	-Aman Singh</t>
        </r>
      </text>
    </comment>
    <comment ref="B253" authorId="0" shapeId="0" xr:uid="{00000000-0006-0000-0100-00000A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258" authorId="0" shapeId="0" xr:uid="{00000000-0006-0000-0100-00000B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259" authorId="0" shapeId="0" xr:uid="{00000000-0006-0000-0100-000019000000}">
      <text>
        <r>
          <rPr>
            <sz val="10"/>
            <color rgb="FF000000"/>
            <rFont val="Arial"/>
            <scheme val="minor"/>
          </rPr>
          <t>to find more returns while increasing the risk (more concentrated, S&amp;P 500 to NAS100)
	-Aman Singh</t>
        </r>
      </text>
    </comment>
    <comment ref="B269" authorId="0" shapeId="0" xr:uid="{00000000-0006-0000-0100-000009000000}">
      <text>
        <r>
          <rPr>
            <sz val="10"/>
            <color rgb="FF000000"/>
            <rFont val="Arial"/>
            <scheme val="minor"/>
          </rPr>
          <t>Purchased from profit booked
	-Aman Singh</t>
        </r>
      </text>
    </comment>
    <comment ref="B270" authorId="0" shapeId="0" xr:uid="{00000000-0006-0000-0100-000026000000}">
      <text>
        <r>
          <rPr>
            <sz val="10"/>
            <color rgb="FF000000"/>
            <rFont val="Arial"/>
            <scheme val="minor"/>
          </rPr>
          <t>complete LOSS (-5)
	-Aman Singh
to find more returns while increasing the risk (corporate bond to liquid fund)
	-Aman Singh</t>
        </r>
      </text>
    </comment>
    <comment ref="B277" authorId="0" shapeId="0" xr:uid="{00000000-0006-0000-0100-000027000000}">
      <text>
        <r>
          <rPr>
            <sz val="10"/>
            <color rgb="FF000000"/>
            <rFont val="Arial"/>
            <scheme val="minor"/>
          </rPr>
          <t>complete LOSS (-5)
	-Aman Singh</t>
        </r>
      </text>
    </comment>
    <comment ref="B278" authorId="0" shapeId="0" xr:uid="{00000000-0006-0000-0100-000028000000}">
      <text>
        <r>
          <rPr>
            <sz val="10"/>
            <color rgb="FF000000"/>
            <rFont val="Arial"/>
            <scheme val="minor"/>
          </rPr>
          <t>complete profit (+1)
	-Aman Singh</t>
        </r>
      </text>
    </comment>
  </commentList>
</comments>
</file>

<file path=xl/sharedStrings.xml><?xml version="1.0" encoding="utf-8"?>
<sst xmlns="http://schemas.openxmlformats.org/spreadsheetml/2006/main" count="1492" uniqueCount="149">
  <si>
    <t>MF + ETF PORTFOLIO XIRR</t>
  </si>
  <si>
    <t>NIFTY Return in the same period:</t>
  </si>
  <si>
    <t>DATES</t>
  </si>
  <si>
    <t>AMOUNT</t>
  </si>
  <si>
    <t>Cum Sum</t>
  </si>
  <si>
    <t>Mutual Fund</t>
  </si>
  <si>
    <t>Invested Value</t>
  </si>
  <si>
    <t>Profit</t>
  </si>
  <si>
    <t>Today</t>
  </si>
  <si>
    <t>ETF</t>
  </si>
  <si>
    <t xml:space="preserve">Profit + Today </t>
  </si>
  <si>
    <t>TOTAL</t>
  </si>
  <si>
    <t>ABS RETURN</t>
  </si>
  <si>
    <t>Guideline to update sheet</t>
  </si>
  <si>
    <t>1) download mutual fund transation report (1) and mutual fund portfolio summary (2)</t>
  </si>
  <si>
    <t>2) copy the new entries from 1 and paste in transactions. add comments if the purchase is special or write the reason if redeemed or switched</t>
  </si>
  <si>
    <t>3) fill units, invested value from 2 to portfolio</t>
  </si>
  <si>
    <t>4) pick entries from transaction to put in respected MF CAS transaction history, then calculate xirr and put it in the holdings.</t>
  </si>
  <si>
    <t>5) add date and amount to portfolio to calculate net xirr</t>
  </si>
  <si>
    <t>6) update xirr without switch and mf+etf xirr calculations</t>
  </si>
  <si>
    <t>7) update and check for others in other cells, total fresh value invested, total invested, current portfolio value, diversification, cumsum chart, etc</t>
  </si>
  <si>
    <t>XIRR</t>
  </si>
  <si>
    <t>Personal Details</t>
  </si>
  <si>
    <t>Name</t>
  </si>
  <si>
    <t>Mobile Number</t>
  </si>
  <si>
    <t>PAN</t>
  </si>
  <si>
    <t>DATE</t>
  </si>
  <si>
    <t xml:space="preserve">TRANSACTIONS TILL </t>
  </si>
  <si>
    <t>XIRR  (WITHOUT SWITCH)</t>
  </si>
  <si>
    <t>Scheme Name</t>
  </si>
  <si>
    <t>Transaction Type</t>
  </si>
  <si>
    <t>Units</t>
  </si>
  <si>
    <t>NAV</t>
  </si>
  <si>
    <t>Amount</t>
  </si>
  <si>
    <t>Date</t>
  </si>
  <si>
    <t>Amount in/out</t>
  </si>
  <si>
    <t>UTI Nifty200 Momentum 30 Index Fund Direct Growth</t>
  </si>
  <si>
    <t>PURCHASE</t>
  </si>
  <si>
    <t>Nippon India Nifty Midcap 150 Index Fund Direct Growth</t>
  </si>
  <si>
    <t>HDFC Short Term Debt Fund Direct Plan Growth</t>
  </si>
  <si>
    <t>REDEEM</t>
  </si>
  <si>
    <t>MOTILAL OSWAL NASDAQ 100 FUND OF FUND - DIRECT GROWTH</t>
  </si>
  <si>
    <t>Total 4593 taken out here</t>
  </si>
  <si>
    <t>Total 35894(total redeemed - repurchased) - 14820(invested in  MOM100) = 21074 taken out here</t>
  </si>
  <si>
    <t>Axis Midcap Direct Plan Growth</t>
  </si>
  <si>
    <t>Axis Small Cap Fund Direct Growth</t>
  </si>
  <si>
    <t>Aditya Birla Sun Life PSU Equity Fund Direct Growth</t>
  </si>
  <si>
    <t>Axis Short Term Direct Fund Growth</t>
  </si>
  <si>
    <t>ICICI Prudential Liquid Fund Direct Plan Growth</t>
  </si>
  <si>
    <t>Tata Liquid Fund Direct Growth</t>
  </si>
  <si>
    <t>Parag Parikh Arbitrage Fund Direct Growth</t>
  </si>
  <si>
    <t>Motilal Oswal Liquid Fund Direct Growth</t>
  </si>
  <si>
    <t>SWITCH PURCHASE</t>
  </si>
  <si>
    <t>Motilal Oswal Nasdaq 100 FOF Direct Growth</t>
  </si>
  <si>
    <t>SWITCH REDEEM</t>
  </si>
  <si>
    <t>Parag Parikh Flexi Cap Fund Direct Growth</t>
  </si>
  <si>
    <t>Tata Digital India Fund Direct Growth</t>
  </si>
  <si>
    <t>ICICI Prudential S&amp;P BSE Sensex Index Fund Direct Growth</t>
  </si>
  <si>
    <t>1700 SIP Over (30 months)</t>
  </si>
  <si>
    <t>ICICI PRUDENTIAL SENSEX INDEX FUND DIRECT PLAN GROWTH</t>
  </si>
  <si>
    <t>Aditya Birla Sun Life Corporate Bond Fund Direct Growth</t>
  </si>
  <si>
    <t>Axis Midcap Fund - Direct - Growth</t>
  </si>
  <si>
    <t>ADITYA BIRLA SUN LIFE LIQUID FUND DIRECT PLAN - GROWTH</t>
  </si>
  <si>
    <t>ADITYA BIRLA SUN LIFE CORPORATE BOND FUND - GROWTH-DIRECT PLAN</t>
  </si>
  <si>
    <t>1000 SIP Over (9 months)</t>
  </si>
  <si>
    <t>MOTILAL OSWAL S&amp;P 500 INDEX FUND DIRECT GROWTH</t>
  </si>
  <si>
    <t>Aditya Birla Sun Life Liquid Fund Direct Growth</t>
  </si>
  <si>
    <t>Aditya Birla Sun Life Corporate Bond Fund - Direct - Growth</t>
  </si>
  <si>
    <t>Motilal Oswal S&amp;P 500 Index Fund Direct Growth</t>
  </si>
  <si>
    <t>Tata Digital India Fund - Direct - Growth</t>
  </si>
  <si>
    <t>ICICI Prudential Technology Fund - Direct - Growth</t>
  </si>
  <si>
    <t>Total value taken out (may not just profit)</t>
  </si>
  <si>
    <t>HOLDING SUMMARY</t>
  </si>
  <si>
    <t>Total Fresh Invested Value</t>
  </si>
  <si>
    <t>Amount Taken out (not just profit)</t>
  </si>
  <si>
    <t>Current Portfolio Value</t>
  </si>
  <si>
    <t>HOLDINGS AS ON :</t>
  </si>
  <si>
    <t>GOOGLE FINANCE CODE</t>
  </si>
  <si>
    <t>AMC</t>
  </si>
  <si>
    <t>Category</t>
  </si>
  <si>
    <t>Sub-category</t>
  </si>
  <si>
    <t>Folio No.</t>
  </si>
  <si>
    <t>Source</t>
  </si>
  <si>
    <t>Current Value</t>
  </si>
  <si>
    <t>MUTF_IN:NIPP_INDI_NIFT_1E6U8CW</t>
  </si>
  <si>
    <t>Nippon India Mutual Fund</t>
  </si>
  <si>
    <t>Equity</t>
  </si>
  <si>
    <t>Mid Cap</t>
  </si>
  <si>
    <t>Groww</t>
  </si>
  <si>
    <t>MUTF_IN:UTI_NIFT_MOME_1J4FLXM</t>
  </si>
  <si>
    <t>UTI Mutual Fund</t>
  </si>
  <si>
    <t>Large &amp; MidCap</t>
  </si>
  <si>
    <t>MUTF_IN:MOTI_OSWA_NASD_1NOTJ6L</t>
  </si>
  <si>
    <t>Motilal Oswal Mutual Fund</t>
  </si>
  <si>
    <t>International</t>
  </si>
  <si>
    <t>MUTF_IN:HDFC_ST_DEBT_TVWBP5</t>
  </si>
  <si>
    <t>HDFC Mutual Fund</t>
  </si>
  <si>
    <t>Debt</t>
  </si>
  <si>
    <t>Short Duration</t>
  </si>
  <si>
    <t>DIVERSIFICATION</t>
  </si>
  <si>
    <t>actual</t>
  </si>
  <si>
    <t>reqired</t>
  </si>
  <si>
    <t>difference</t>
  </si>
  <si>
    <t>Large + Mid cap</t>
  </si>
  <si>
    <t>REQUIRED DIVERSIFICATION</t>
  </si>
  <si>
    <t>ACTUAL DIVERSIFICATION</t>
  </si>
  <si>
    <t/>
  </si>
  <si>
    <t>Unique Client Code</t>
  </si>
  <si>
    <t>Stocks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</si>
  <si>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</si>
  <si>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</si>
  <si>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</si>
  <si>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</si>
  <si>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</si>
  <si>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</si>
  <si>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</si>
  <si>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</si>
  <si>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</si>
  <si>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UN/Realised P&amp;L</t>
  </si>
  <si>
    <t>FEDERAL BANK LTD</t>
  </si>
  <si>
    <t>INE171A01029</t>
  </si>
  <si>
    <t>VODAFONE IDEA LIMITED</t>
  </si>
  <si>
    <t>INE669E01016</t>
  </si>
  <si>
    <t>ITC LTD</t>
  </si>
  <si>
    <t>INE154A01025</t>
  </si>
  <si>
    <t>TATA MOTORS LIMITED</t>
  </si>
  <si>
    <t>INE155A01022</t>
  </si>
  <si>
    <t>SPICEJET LTD.</t>
  </si>
  <si>
    <t>INE285B01017</t>
  </si>
  <si>
    <t>YES BANK LIMITED</t>
  </si>
  <si>
    <t>INE528G01035</t>
  </si>
  <si>
    <t>VISA STEEL LIMITED</t>
  </si>
  <si>
    <t>INE286H01012</t>
  </si>
  <si>
    <t>GTL INFRA.LTD</t>
  </si>
  <si>
    <t>INE221H01019</t>
  </si>
  <si>
    <t>PAZEL</t>
  </si>
  <si>
    <t>INE040N01029</t>
  </si>
  <si>
    <t>ZEE ENTERTAINMENT ENT LTD</t>
  </si>
  <si>
    <t>INE256A01028</t>
  </si>
  <si>
    <t>Abs Returns</t>
  </si>
  <si>
    <t>MOTILAL OS NASDAQ100 ETF</t>
  </si>
  <si>
    <t>INF247L01AP3</t>
  </si>
  <si>
    <t>Returns till now</t>
  </si>
  <si>
    <t>in percentage</t>
  </si>
  <si>
    <t>INF247L01AP4</t>
  </si>
  <si>
    <t>TOTAL (current)</t>
  </si>
  <si>
    <t>MOTILAL OS NASDAQ100 ETF XIRR CALCULATION</t>
  </si>
  <si>
    <t>MOTILAL OS NAS100 NET XIRR CALCULATION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</si>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</sst>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0.0"/>
    <numFmt numFmtId="166" formatCode="dd\-mm\-yyyy"/>
    <numFmt numFmtId="167" formatCode="d\-m\-yyyy"/>
    <numFmt numFmtId="168" formatCode="d\ mmm\ yyyy"/>
    <numFmt numFmtId="169" formatCode="dd\ mmm\ yyyy"/>
    <numFmt numFmtId="170" formatCode="d\ mmmm\ yyyy"/>
    <numFmt numFmtId="171" formatCode="dd\-mm\-yyyy\ hh:mm"/>
  </numFmts>
  <fonts count="23">
    <font>
      <sz val="10"/>
      <color rgb="FF000000"/>
      <name val="Arial"/>
      <scheme val="minor"/>
    </font>
    <font>
      <b/>
      <sz val="11"/>
      <color rgb="FFFFFFFF"/>
      <name val="Calibri"/>
    </font>
    <font>
      <sz val="10"/>
      <name val="Arial"/>
    </font>
    <font>
      <b/>
      <sz val="12"/>
      <color rgb="FFFFFFFF"/>
      <name val="Arial"/>
      <scheme val="minor"/>
    </font>
    <font>
      <b/>
      <sz val="12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9"/>
      <color rgb="FF000000"/>
      <name val="&quot;Google Sans Mono&quot;"/>
    </font>
    <font>
      <b/>
      <sz val="14"/>
      <color rgb="FFFFFFFF"/>
      <name val="Calibri"/>
    </font>
    <font>
      <b/>
      <sz val="11"/>
      <color rgb="FF000000"/>
      <name val="Calibri"/>
    </font>
    <font>
      <sz val="10"/>
      <color theme="1"/>
      <name val="Calibri"/>
    </font>
    <font>
      <sz val="13"/>
      <color rgb="FFFF6600"/>
      <name val="Inherit"/>
    </font>
    <font>
      <b/>
      <sz val="15"/>
      <color theme="1"/>
      <name val="Calibri"/>
    </font>
    <font>
      <sz val="10"/>
      <color theme="1"/>
      <name val="Arial"/>
    </font>
    <font>
      <b/>
      <sz val="10"/>
      <color theme="1"/>
      <name val="Verdana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rgb="FF000000"/>
      <name val="Calibri"/>
    </font>
    <font>
      <sz val="10"/>
      <color rgb="FF000000"/>
      <name val="Arial"/>
    </font>
    <font>
      <b/>
      <sz val="11"/>
      <color theme="1"/>
      <name val="Calibri"/>
    </font>
    <font>
      <sz val="11"/>
      <color rgb="FF1F1F1F"/>
      <name val="&quot;Google Sans&quot;"/>
    </font>
    <font>
      <sz val="10"/>
      <color theme="0" tint="-4.9989318521683403E-2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rgb="FFA64D79"/>
        <bgColor rgb="FFA64D79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8768"/>
        <bgColor rgb="FF00876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1" xfId="0" applyFont="1" applyFill="1" applyBorder="1" applyAlignment="1">
      <alignment horizontal="center"/>
    </xf>
    <xf numFmtId="10" fontId="3" fillId="3" borderId="0" xfId="0" applyNumberFormat="1" applyFont="1" applyFill="1"/>
    <xf numFmtId="0" fontId="4" fillId="4" borderId="0" xfId="0" applyFont="1" applyFill="1"/>
    <xf numFmtId="0" fontId="1" fillId="2" borderId="3" xfId="0" applyFont="1" applyFill="1" applyBorder="1" applyAlignment="1">
      <alignment horizontal="left"/>
    </xf>
    <xf numFmtId="164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14" fontId="6" fillId="0" borderId="0" xfId="0" applyNumberFormat="1" applyFont="1"/>
    <xf numFmtId="0" fontId="6" fillId="5" borderId="0" xfId="0" applyFont="1" applyFill="1"/>
    <xf numFmtId="165" fontId="6" fillId="0" borderId="0" xfId="0" applyNumberFormat="1" applyFont="1"/>
    <xf numFmtId="10" fontId="6" fillId="0" borderId="0" xfId="0" applyNumberFormat="1" applyFont="1"/>
    <xf numFmtId="0" fontId="6" fillId="7" borderId="0" xfId="0" applyFont="1" applyFill="1"/>
    <xf numFmtId="165" fontId="6" fillId="7" borderId="0" xfId="0" applyNumberFormat="1" applyFont="1" applyFill="1"/>
    <xf numFmtId="10" fontId="6" fillId="7" borderId="0" xfId="0" applyNumberFormat="1" applyFont="1" applyFill="1"/>
    <xf numFmtId="166" fontId="6" fillId="0" borderId="0" xfId="0" applyNumberFormat="1" applyFont="1"/>
    <xf numFmtId="167" fontId="6" fillId="0" borderId="0" xfId="0" applyNumberFormat="1" applyFont="1"/>
    <xf numFmtId="3" fontId="6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/>
    <xf numFmtId="164" fontId="7" fillId="0" borderId="0" xfId="0" applyNumberFormat="1" applyFont="1" applyAlignment="1">
      <alignment horizontal="right"/>
    </xf>
    <xf numFmtId="168" fontId="6" fillId="0" borderId="0" xfId="0" applyNumberFormat="1" applyFont="1"/>
    <xf numFmtId="164" fontId="5" fillId="6" borderId="0" xfId="0" applyNumberFormat="1" applyFont="1" applyFill="1"/>
    <xf numFmtId="0" fontId="5" fillId="7" borderId="0" xfId="0" applyFont="1" applyFill="1"/>
    <xf numFmtId="164" fontId="6" fillId="6" borderId="0" xfId="0" applyNumberFormat="1" applyFont="1" applyFill="1"/>
    <xf numFmtId="165" fontId="7" fillId="7" borderId="0" xfId="0" applyNumberFormat="1" applyFont="1" applyFill="1" applyAlignment="1">
      <alignment horizontal="right"/>
    </xf>
    <xf numFmtId="0" fontId="1" fillId="2" borderId="2" xfId="0" applyFont="1" applyFill="1" applyBorder="1" applyAlignment="1">
      <alignment horizontal="left"/>
    </xf>
    <xf numFmtId="10" fontId="8" fillId="9" borderId="0" xfId="0" applyNumberFormat="1" applyFont="1" applyFill="1"/>
    <xf numFmtId="0" fontId="5" fillId="0" borderId="0" xfId="0" applyFont="1" applyAlignment="1">
      <alignment horizontal="center"/>
    </xf>
    <xf numFmtId="0" fontId="6" fillId="10" borderId="0" xfId="0" applyFont="1" applyFill="1"/>
    <xf numFmtId="0" fontId="9" fillId="11" borderId="2" xfId="0" applyFont="1" applyFill="1" applyBorder="1" applyAlignment="1">
      <alignment horizontal="left"/>
    </xf>
    <xf numFmtId="0" fontId="1" fillId="12" borderId="3" xfId="0" applyFont="1" applyFill="1" applyBorder="1" applyAlignment="1">
      <alignment horizontal="left"/>
    </xf>
    <xf numFmtId="0" fontId="1" fillId="13" borderId="2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left"/>
    </xf>
    <xf numFmtId="0" fontId="1" fillId="13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10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5" fillId="0" borderId="0" xfId="0" applyNumberFormat="1" applyFont="1"/>
    <xf numFmtId="168" fontId="5" fillId="0" borderId="0" xfId="0" applyNumberFormat="1" applyFont="1"/>
    <xf numFmtId="0" fontId="11" fillId="0" borderId="0" xfId="0" applyFont="1"/>
    <xf numFmtId="3" fontId="5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3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5" fillId="0" borderId="0" xfId="0" applyNumberFormat="1" applyFont="1"/>
    <xf numFmtId="169" fontId="5" fillId="0" borderId="0" xfId="0" applyNumberFormat="1" applyFont="1"/>
    <xf numFmtId="169" fontId="6" fillId="0" borderId="0" xfId="0" applyNumberFormat="1" applyFont="1"/>
    <xf numFmtId="170" fontId="5" fillId="0" borderId="0" xfId="0" applyNumberFormat="1" applyFont="1"/>
    <xf numFmtId="170" fontId="6" fillId="0" borderId="0" xfId="0" applyNumberFormat="1" applyFont="1"/>
    <xf numFmtId="3" fontId="5" fillId="14" borderId="0" xfId="0" applyNumberFormat="1" applyFont="1" applyFill="1"/>
    <xf numFmtId="3" fontId="5" fillId="15" borderId="0" xfId="0" applyNumberFormat="1" applyFont="1" applyFill="1"/>
    <xf numFmtId="3" fontId="5" fillId="8" borderId="0" xfId="0" applyNumberFormat="1" applyFont="1" applyFill="1"/>
    <xf numFmtId="165" fontId="6" fillId="6" borderId="0" xfId="0" applyNumberFormat="1" applyFont="1" applyFill="1"/>
    <xf numFmtId="4" fontId="6" fillId="0" borderId="0" xfId="0" applyNumberFormat="1" applyFont="1"/>
    <xf numFmtId="0" fontId="6" fillId="11" borderId="0" xfId="0" applyFont="1" applyFill="1"/>
    <xf numFmtId="14" fontId="6" fillId="16" borderId="0" xfId="0" applyNumberFormat="1" applyFont="1" applyFill="1"/>
    <xf numFmtId="165" fontId="7" fillId="16" borderId="0" xfId="0" applyNumberFormat="1" applyFont="1" applyFill="1" applyAlignment="1">
      <alignment horizontal="right"/>
    </xf>
    <xf numFmtId="0" fontId="6" fillId="17" borderId="0" xfId="0" applyFont="1" applyFill="1"/>
    <xf numFmtId="164" fontId="6" fillId="10" borderId="0" xfId="0" applyNumberFormat="1" applyFont="1" applyFill="1"/>
    <xf numFmtId="0" fontId="12" fillId="17" borderId="0" xfId="0" applyFont="1" applyFill="1"/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164" fontId="14" fillId="0" borderId="0" xfId="0" applyNumberFormat="1" applyFont="1"/>
    <xf numFmtId="0" fontId="14" fillId="10" borderId="0" xfId="0" applyFont="1" applyFill="1"/>
    <xf numFmtId="0" fontId="1" fillId="18" borderId="2" xfId="0" applyFont="1" applyFill="1" applyBorder="1"/>
    <xf numFmtId="10" fontId="14" fillId="0" borderId="0" xfId="0" applyNumberFormat="1" applyFont="1"/>
    <xf numFmtId="14" fontId="15" fillId="0" borderId="0" xfId="0" applyNumberFormat="1" applyFont="1" applyAlignment="1">
      <alignment horizontal="right"/>
    </xf>
    <xf numFmtId="0" fontId="1" fillId="18" borderId="3" xfId="0" applyFont="1" applyFill="1" applyBorder="1"/>
    <xf numFmtId="0" fontId="1" fillId="18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0" fontId="7" fillId="0" borderId="0" xfId="0" applyNumberFormat="1" applyFont="1" applyAlignment="1">
      <alignment horizontal="right"/>
    </xf>
    <xf numFmtId="4" fontId="14" fillId="0" borderId="0" xfId="0" applyNumberFormat="1" applyFont="1"/>
    <xf numFmtId="0" fontId="6" fillId="4" borderId="0" xfId="0" applyFont="1" applyFill="1"/>
    <xf numFmtId="0" fontId="16" fillId="5" borderId="0" xfId="0" applyFont="1" applyFill="1"/>
    <xf numFmtId="10" fontId="6" fillId="0" borderId="0" xfId="0" applyNumberFormat="1" applyFont="1" applyAlignment="1">
      <alignment horizontal="center"/>
    </xf>
    <xf numFmtId="9" fontId="6" fillId="0" borderId="0" xfId="0" applyNumberFormat="1" applyFont="1"/>
    <xf numFmtId="164" fontId="14" fillId="10" borderId="0" xfId="0" applyNumberFormat="1" applyFont="1" applyFill="1"/>
    <xf numFmtId="10" fontId="5" fillId="0" borderId="0" xfId="0" applyNumberFormat="1" applyFont="1"/>
    <xf numFmtId="169" fontId="7" fillId="0" borderId="0" xfId="0" applyNumberFormat="1" applyFont="1" applyAlignment="1">
      <alignment horizontal="right"/>
    </xf>
    <xf numFmtId="0" fontId="8" fillId="17" borderId="0" xfId="0" applyFont="1" applyFill="1"/>
    <xf numFmtId="0" fontId="6" fillId="19" borderId="0" xfId="0" applyFont="1" applyFill="1"/>
    <xf numFmtId="14" fontId="6" fillId="19" borderId="0" xfId="0" applyNumberFormat="1" applyFont="1" applyFill="1"/>
    <xf numFmtId="0" fontId="18" fillId="0" borderId="0" xfId="0" applyFont="1"/>
    <xf numFmtId="168" fontId="5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65" fontId="6" fillId="19" borderId="0" xfId="0" applyNumberFormat="1" applyFont="1" applyFill="1"/>
    <xf numFmtId="0" fontId="14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7" fillId="9" borderId="0" xfId="0" applyFont="1" applyFill="1"/>
    <xf numFmtId="167" fontId="5" fillId="0" borderId="0" xfId="0" applyNumberFormat="1" applyFont="1"/>
    <xf numFmtId="0" fontId="20" fillId="19" borderId="0" xfId="0" applyFont="1" applyFill="1"/>
    <xf numFmtId="0" fontId="14" fillId="8" borderId="0" xfId="0" applyFont="1" applyFill="1"/>
    <xf numFmtId="166" fontId="14" fillId="8" borderId="0" xfId="0" applyNumberFormat="1" applyFont="1" applyFill="1"/>
    <xf numFmtId="0" fontId="7" fillId="8" borderId="0" xfId="0" applyFont="1" applyFill="1" applyAlignment="1">
      <alignment horizontal="right"/>
    </xf>
    <xf numFmtId="167" fontId="14" fillId="8" borderId="0" xfId="0" applyNumberFormat="1" applyFont="1" applyFill="1"/>
    <xf numFmtId="166" fontId="14" fillId="0" borderId="0" xfId="0" applyNumberFormat="1" applyFont="1"/>
    <xf numFmtId="167" fontId="14" fillId="0" borderId="0" xfId="0" applyNumberFormat="1" applyFont="1"/>
    <xf numFmtId="0" fontId="5" fillId="8" borderId="0" xfId="0" applyFont="1" applyFill="1"/>
    <xf numFmtId="10" fontId="7" fillId="9" borderId="0" xfId="0" applyNumberFormat="1" applyFont="1" applyFill="1" applyAlignment="1">
      <alignment horizontal="right"/>
    </xf>
    <xf numFmtId="0" fontId="20" fillId="0" borderId="0" xfId="0" applyFont="1"/>
    <xf numFmtId="171" fontId="6" fillId="0" borderId="0" xfId="0" applyNumberFormat="1" applyFont="1"/>
    <xf numFmtId="0" fontId="17" fillId="9" borderId="0" xfId="0" applyFont="1" applyFill="1"/>
    <xf numFmtId="0" fontId="5" fillId="6" borderId="0" xfId="0" applyFont="1" applyFill="1"/>
    <xf numFmtId="14" fontId="5" fillId="6" borderId="0" xfId="0" applyNumberFormat="1" applyFont="1" applyFill="1"/>
    <xf numFmtId="10" fontId="5" fillId="9" borderId="0" xfId="0" applyNumberFormat="1" applyFont="1" applyFill="1"/>
    <xf numFmtId="0" fontId="21" fillId="0" borderId="0" xfId="0" applyFont="1"/>
    <xf numFmtId="164" fontId="5" fillId="16" borderId="0" xfId="0" applyNumberFormat="1" applyFont="1" applyFill="1"/>
    <xf numFmtId="0" fontId="5" fillId="16" borderId="0" xfId="0" applyFont="1" applyFill="1"/>
    <xf numFmtId="0" fontId="1" fillId="18" borderId="2" xfId="0" applyFont="1" applyFill="1" applyBorder="1" applyAlignment="1">
      <alignment horizontal="right"/>
    </xf>
    <xf numFmtId="10" fontId="10" fillId="9" borderId="2" xfId="0" applyNumberFormat="1" applyFont="1" applyFill="1" applyBorder="1"/>
    <xf numFmtId="164" fontId="5" fillId="20" borderId="0" xfId="0" applyNumberFormat="1" applyFont="1" applyFill="1"/>
    <xf numFmtId="0" fontId="5" fillId="20" borderId="0" xfId="0" applyFont="1" applyFill="1"/>
    <xf numFmtId="164" fontId="6" fillId="20" borderId="0" xfId="0" applyNumberFormat="1" applyFont="1" applyFill="1"/>
    <xf numFmtId="165" fontId="6" fillId="20" borderId="0" xfId="0" applyNumberFormat="1" applyFont="1" applyFill="1"/>
    <xf numFmtId="0" fontId="4" fillId="0" borderId="0" xfId="0" applyFont="1"/>
    <xf numFmtId="0" fontId="22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8" borderId="0" xfId="0" applyFont="1" applyFill="1"/>
    <xf numFmtId="0" fontId="0" fillId="0" borderId="0" xfId="0"/>
    <xf numFmtId="0" fontId="1" fillId="2" borderId="1" xfId="0" applyFont="1" applyFill="1" applyBorder="1" applyAlignment="1">
      <alignment horizontal="left"/>
    </xf>
    <xf numFmtId="0" fontId="16" fillId="5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4" fillId="11" borderId="6" xfId="0" applyFont="1" applyFill="1" applyBorder="1" applyAlignment="1">
      <alignment horizontal="left"/>
    </xf>
    <xf numFmtId="0" fontId="2" fillId="0" borderId="6" xfId="0" applyFont="1" applyBorder="1"/>
  </cellXfs>
  <cellStyles count="1">
    <cellStyle name="Normal" xfId="0" builtinId="0"/>
  </cellStyles>
  <dxfs count="12">
    <dxf>
      <fill>
        <patternFill patternType="solid">
          <fgColor rgb="FFF7B804"/>
          <bgColor rgb="FFF7B804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7B804"/>
          <bgColor rgb="FFF7B804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HK" b="0">
                <a:solidFill>
                  <a:srgbClr val="757575"/>
                </a:solidFill>
                <a:latin typeface="+mn-lt"/>
              </a:rPr>
              <a:t>Cum Sum vs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'Portfolio  Holdings'!$E$4:$E$289</c:f>
              <c:numCache>
                <c:formatCode>dd/mm/yyyy</c:formatCode>
                <c:ptCount val="286"/>
                <c:pt idx="0">
                  <c:v>44126</c:v>
                </c:pt>
                <c:pt idx="1">
                  <c:v>44126</c:v>
                </c:pt>
                <c:pt idx="2">
                  <c:v>44126</c:v>
                </c:pt>
                <c:pt idx="3">
                  <c:v>44152</c:v>
                </c:pt>
                <c:pt idx="4">
                  <c:v>44162</c:v>
                </c:pt>
                <c:pt idx="5">
                  <c:v>44169</c:v>
                </c:pt>
                <c:pt idx="6">
                  <c:v>44180</c:v>
                </c:pt>
                <c:pt idx="7">
                  <c:v>44181</c:v>
                </c:pt>
                <c:pt idx="8">
                  <c:v>44208</c:v>
                </c:pt>
                <c:pt idx="9">
                  <c:v>44211</c:v>
                </c:pt>
                <c:pt idx="10">
                  <c:v>44242</c:v>
                </c:pt>
                <c:pt idx="11">
                  <c:v>44242</c:v>
                </c:pt>
                <c:pt idx="12">
                  <c:v>44242</c:v>
                </c:pt>
                <c:pt idx="13">
                  <c:v>44242</c:v>
                </c:pt>
                <c:pt idx="14">
                  <c:v>44270</c:v>
                </c:pt>
                <c:pt idx="15">
                  <c:v>44270</c:v>
                </c:pt>
                <c:pt idx="16">
                  <c:v>44301</c:v>
                </c:pt>
                <c:pt idx="17">
                  <c:v>44301</c:v>
                </c:pt>
                <c:pt idx="18">
                  <c:v>44333</c:v>
                </c:pt>
                <c:pt idx="19">
                  <c:v>44333</c:v>
                </c:pt>
                <c:pt idx="20">
                  <c:v>44362</c:v>
                </c:pt>
                <c:pt idx="21">
                  <c:v>44362</c:v>
                </c:pt>
                <c:pt idx="22">
                  <c:v>44376</c:v>
                </c:pt>
                <c:pt idx="23">
                  <c:v>44376</c:v>
                </c:pt>
                <c:pt idx="24">
                  <c:v>44392</c:v>
                </c:pt>
                <c:pt idx="25">
                  <c:v>44393</c:v>
                </c:pt>
                <c:pt idx="26">
                  <c:v>44393</c:v>
                </c:pt>
                <c:pt idx="27">
                  <c:v>44393</c:v>
                </c:pt>
                <c:pt idx="28">
                  <c:v>44393</c:v>
                </c:pt>
                <c:pt idx="29">
                  <c:v>44393</c:v>
                </c:pt>
                <c:pt idx="30">
                  <c:v>44420</c:v>
                </c:pt>
                <c:pt idx="31">
                  <c:v>44424</c:v>
                </c:pt>
                <c:pt idx="32">
                  <c:v>44424</c:v>
                </c:pt>
                <c:pt idx="33">
                  <c:v>44424</c:v>
                </c:pt>
                <c:pt idx="34">
                  <c:v>44454</c:v>
                </c:pt>
                <c:pt idx="35">
                  <c:v>44454</c:v>
                </c:pt>
                <c:pt idx="36">
                  <c:v>44454</c:v>
                </c:pt>
                <c:pt idx="37">
                  <c:v>44454</c:v>
                </c:pt>
                <c:pt idx="38">
                  <c:v>44487</c:v>
                </c:pt>
                <c:pt idx="39">
                  <c:v>44487</c:v>
                </c:pt>
                <c:pt idx="40">
                  <c:v>44487</c:v>
                </c:pt>
                <c:pt idx="41">
                  <c:v>44487</c:v>
                </c:pt>
                <c:pt idx="42">
                  <c:v>44515</c:v>
                </c:pt>
                <c:pt idx="43">
                  <c:v>44515</c:v>
                </c:pt>
                <c:pt idx="44">
                  <c:v>44515</c:v>
                </c:pt>
                <c:pt idx="45">
                  <c:v>44515</c:v>
                </c:pt>
                <c:pt idx="46">
                  <c:v>44524</c:v>
                </c:pt>
                <c:pt idx="47">
                  <c:v>44524</c:v>
                </c:pt>
                <c:pt idx="48">
                  <c:v>44524</c:v>
                </c:pt>
                <c:pt idx="49">
                  <c:v>44526</c:v>
                </c:pt>
                <c:pt idx="50">
                  <c:v>44543</c:v>
                </c:pt>
                <c:pt idx="51">
                  <c:v>44545</c:v>
                </c:pt>
                <c:pt idx="52">
                  <c:v>44545</c:v>
                </c:pt>
                <c:pt idx="53">
                  <c:v>44545</c:v>
                </c:pt>
                <c:pt idx="54">
                  <c:v>44578</c:v>
                </c:pt>
                <c:pt idx="55">
                  <c:v>44578</c:v>
                </c:pt>
                <c:pt idx="56">
                  <c:v>44578</c:v>
                </c:pt>
                <c:pt idx="57">
                  <c:v>44578</c:v>
                </c:pt>
                <c:pt idx="58">
                  <c:v>44607</c:v>
                </c:pt>
                <c:pt idx="59">
                  <c:v>44607</c:v>
                </c:pt>
                <c:pt idx="60">
                  <c:v>44607</c:v>
                </c:pt>
                <c:pt idx="61">
                  <c:v>44607</c:v>
                </c:pt>
                <c:pt idx="62">
                  <c:v>44635</c:v>
                </c:pt>
                <c:pt idx="63">
                  <c:v>44635</c:v>
                </c:pt>
                <c:pt idx="64">
                  <c:v>44635</c:v>
                </c:pt>
                <c:pt idx="65">
                  <c:v>44635</c:v>
                </c:pt>
                <c:pt idx="66">
                  <c:v>44669</c:v>
                </c:pt>
                <c:pt idx="67">
                  <c:v>44669</c:v>
                </c:pt>
                <c:pt idx="68">
                  <c:v>44669</c:v>
                </c:pt>
                <c:pt idx="69">
                  <c:v>44697</c:v>
                </c:pt>
                <c:pt idx="70">
                  <c:v>44697</c:v>
                </c:pt>
                <c:pt idx="71">
                  <c:v>44697</c:v>
                </c:pt>
                <c:pt idx="72">
                  <c:v>44727</c:v>
                </c:pt>
                <c:pt idx="73">
                  <c:v>44727</c:v>
                </c:pt>
                <c:pt idx="74">
                  <c:v>44727</c:v>
                </c:pt>
                <c:pt idx="75">
                  <c:v>44741</c:v>
                </c:pt>
                <c:pt idx="76" formatCode="dd\-mm\-yyyy">
                  <c:v>44741</c:v>
                </c:pt>
                <c:pt idx="77">
                  <c:v>44750</c:v>
                </c:pt>
                <c:pt idx="78" formatCode="dd\-mm\-yyyy">
                  <c:v>44750</c:v>
                </c:pt>
                <c:pt idx="79">
                  <c:v>44760</c:v>
                </c:pt>
                <c:pt idx="80">
                  <c:v>44760</c:v>
                </c:pt>
                <c:pt idx="81">
                  <c:v>44760</c:v>
                </c:pt>
                <c:pt idx="82" formatCode="dd\-mm\-yyyy">
                  <c:v>44760</c:v>
                </c:pt>
                <c:pt idx="83">
                  <c:v>44789</c:v>
                </c:pt>
                <c:pt idx="84">
                  <c:v>44789</c:v>
                </c:pt>
                <c:pt idx="85">
                  <c:v>44790</c:v>
                </c:pt>
                <c:pt idx="86" formatCode="dd\-mm\-yyyy">
                  <c:v>44792</c:v>
                </c:pt>
                <c:pt idx="87">
                  <c:v>44816</c:v>
                </c:pt>
                <c:pt idx="88">
                  <c:v>44819</c:v>
                </c:pt>
                <c:pt idx="89">
                  <c:v>44819</c:v>
                </c:pt>
                <c:pt idx="90">
                  <c:v>44819</c:v>
                </c:pt>
                <c:pt idx="91">
                  <c:v>44844</c:v>
                </c:pt>
                <c:pt idx="92">
                  <c:v>44851</c:v>
                </c:pt>
                <c:pt idx="93">
                  <c:v>44851</c:v>
                </c:pt>
                <c:pt idx="94">
                  <c:v>44851</c:v>
                </c:pt>
                <c:pt idx="95">
                  <c:v>44880</c:v>
                </c:pt>
                <c:pt idx="96">
                  <c:v>44880</c:v>
                </c:pt>
                <c:pt idx="97">
                  <c:v>44880</c:v>
                </c:pt>
                <c:pt idx="98">
                  <c:v>44882</c:v>
                </c:pt>
                <c:pt idx="99">
                  <c:v>44910</c:v>
                </c:pt>
                <c:pt idx="100">
                  <c:v>44910</c:v>
                </c:pt>
                <c:pt idx="101">
                  <c:v>44910</c:v>
                </c:pt>
                <c:pt idx="102">
                  <c:v>44914</c:v>
                </c:pt>
                <c:pt idx="103">
                  <c:v>44942</c:v>
                </c:pt>
                <c:pt idx="104">
                  <c:v>44942</c:v>
                </c:pt>
                <c:pt idx="105">
                  <c:v>44942</c:v>
                </c:pt>
                <c:pt idx="106">
                  <c:v>44942</c:v>
                </c:pt>
                <c:pt idx="107">
                  <c:v>44960</c:v>
                </c:pt>
                <c:pt idx="108">
                  <c:v>44960</c:v>
                </c:pt>
                <c:pt idx="109">
                  <c:v>44960</c:v>
                </c:pt>
                <c:pt idx="110">
                  <c:v>44965</c:v>
                </c:pt>
                <c:pt idx="111">
                  <c:v>44972</c:v>
                </c:pt>
                <c:pt idx="112">
                  <c:v>44972</c:v>
                </c:pt>
                <c:pt idx="113">
                  <c:v>44972</c:v>
                </c:pt>
                <c:pt idx="114">
                  <c:v>44972</c:v>
                </c:pt>
                <c:pt idx="115">
                  <c:v>44977</c:v>
                </c:pt>
                <c:pt idx="116">
                  <c:v>45000</c:v>
                </c:pt>
                <c:pt idx="117">
                  <c:v>45000</c:v>
                </c:pt>
                <c:pt idx="118">
                  <c:v>45000</c:v>
                </c:pt>
                <c:pt idx="119">
                  <c:v>45000</c:v>
                </c:pt>
                <c:pt idx="120">
                  <c:v>45000</c:v>
                </c:pt>
                <c:pt idx="121">
                  <c:v>45033</c:v>
                </c:pt>
                <c:pt idx="122">
                  <c:v>45033</c:v>
                </c:pt>
                <c:pt idx="123">
                  <c:v>45033</c:v>
                </c:pt>
                <c:pt idx="124">
                  <c:v>45033</c:v>
                </c:pt>
                <c:pt idx="125">
                  <c:v>45033</c:v>
                </c:pt>
                <c:pt idx="126">
                  <c:v>45033</c:v>
                </c:pt>
                <c:pt idx="127">
                  <c:v>45061</c:v>
                </c:pt>
                <c:pt idx="128">
                  <c:v>45061</c:v>
                </c:pt>
                <c:pt idx="129">
                  <c:v>45061</c:v>
                </c:pt>
                <c:pt idx="130">
                  <c:v>45061</c:v>
                </c:pt>
                <c:pt idx="131">
                  <c:v>45061</c:v>
                </c:pt>
                <c:pt idx="132">
                  <c:v>45061</c:v>
                </c:pt>
                <c:pt idx="133">
                  <c:v>45092</c:v>
                </c:pt>
                <c:pt idx="134">
                  <c:v>45092</c:v>
                </c:pt>
                <c:pt idx="135">
                  <c:v>45092</c:v>
                </c:pt>
                <c:pt idx="136">
                  <c:v>45092</c:v>
                </c:pt>
                <c:pt idx="137">
                  <c:v>45092</c:v>
                </c:pt>
                <c:pt idx="138">
                  <c:v>45092</c:v>
                </c:pt>
                <c:pt idx="139">
                  <c:v>45124</c:v>
                </c:pt>
                <c:pt idx="140">
                  <c:v>45124</c:v>
                </c:pt>
                <c:pt idx="141">
                  <c:v>45124</c:v>
                </c:pt>
                <c:pt idx="142">
                  <c:v>45124</c:v>
                </c:pt>
                <c:pt idx="143">
                  <c:v>45124</c:v>
                </c:pt>
                <c:pt idx="144">
                  <c:v>45124</c:v>
                </c:pt>
                <c:pt idx="145">
                  <c:v>45154</c:v>
                </c:pt>
                <c:pt idx="146">
                  <c:v>45154</c:v>
                </c:pt>
                <c:pt idx="147">
                  <c:v>45154</c:v>
                </c:pt>
                <c:pt idx="148">
                  <c:v>45154</c:v>
                </c:pt>
                <c:pt idx="149">
                  <c:v>45154</c:v>
                </c:pt>
                <c:pt idx="150">
                  <c:v>45154</c:v>
                </c:pt>
                <c:pt idx="151">
                  <c:v>45184</c:v>
                </c:pt>
                <c:pt idx="152">
                  <c:v>45184</c:v>
                </c:pt>
                <c:pt idx="153">
                  <c:v>45184</c:v>
                </c:pt>
                <c:pt idx="154">
                  <c:v>45184</c:v>
                </c:pt>
                <c:pt idx="155">
                  <c:v>45184</c:v>
                </c:pt>
                <c:pt idx="156">
                  <c:v>45184</c:v>
                </c:pt>
                <c:pt idx="157">
                  <c:v>45215</c:v>
                </c:pt>
                <c:pt idx="158">
                  <c:v>45215</c:v>
                </c:pt>
                <c:pt idx="159">
                  <c:v>45215</c:v>
                </c:pt>
                <c:pt idx="160">
                  <c:v>45215</c:v>
                </c:pt>
                <c:pt idx="161">
                  <c:v>45215</c:v>
                </c:pt>
                <c:pt idx="162">
                  <c:v>45215</c:v>
                </c:pt>
                <c:pt idx="163">
                  <c:v>45245</c:v>
                </c:pt>
                <c:pt idx="164">
                  <c:v>45245</c:v>
                </c:pt>
                <c:pt idx="165">
                  <c:v>45245</c:v>
                </c:pt>
                <c:pt idx="166">
                  <c:v>45245</c:v>
                </c:pt>
                <c:pt idx="167">
                  <c:v>45245</c:v>
                </c:pt>
                <c:pt idx="168">
                  <c:v>45245</c:v>
                </c:pt>
                <c:pt idx="169">
                  <c:v>45275</c:v>
                </c:pt>
                <c:pt idx="170">
                  <c:v>45275</c:v>
                </c:pt>
                <c:pt idx="171">
                  <c:v>45275</c:v>
                </c:pt>
                <c:pt idx="172">
                  <c:v>45275</c:v>
                </c:pt>
                <c:pt idx="173">
                  <c:v>45275</c:v>
                </c:pt>
                <c:pt idx="174">
                  <c:v>45275</c:v>
                </c:pt>
                <c:pt idx="175">
                  <c:v>45306</c:v>
                </c:pt>
                <c:pt idx="176">
                  <c:v>45306</c:v>
                </c:pt>
                <c:pt idx="177">
                  <c:v>45306</c:v>
                </c:pt>
                <c:pt idx="178">
                  <c:v>45307</c:v>
                </c:pt>
                <c:pt idx="179">
                  <c:v>45310</c:v>
                </c:pt>
                <c:pt idx="180">
                  <c:v>45310</c:v>
                </c:pt>
                <c:pt idx="181">
                  <c:v>45310</c:v>
                </c:pt>
                <c:pt idx="182">
                  <c:v>45314</c:v>
                </c:pt>
                <c:pt idx="183">
                  <c:v>45314</c:v>
                </c:pt>
                <c:pt idx="184">
                  <c:v>45315</c:v>
                </c:pt>
                <c:pt idx="185">
                  <c:v>45337</c:v>
                </c:pt>
                <c:pt idx="186">
                  <c:v>45337</c:v>
                </c:pt>
                <c:pt idx="187">
                  <c:v>45337</c:v>
                </c:pt>
                <c:pt idx="188">
                  <c:v>45337</c:v>
                </c:pt>
                <c:pt idx="189">
                  <c:v>45357</c:v>
                </c:pt>
                <c:pt idx="190">
                  <c:v>45358</c:v>
                </c:pt>
                <c:pt idx="191">
                  <c:v>45358</c:v>
                </c:pt>
                <c:pt idx="192">
                  <c:v>45358</c:v>
                </c:pt>
                <c:pt idx="193">
                  <c:v>45363</c:v>
                </c:pt>
                <c:pt idx="194">
                  <c:v>45366</c:v>
                </c:pt>
                <c:pt idx="195">
                  <c:v>45366</c:v>
                </c:pt>
                <c:pt idx="196">
                  <c:v>45366</c:v>
                </c:pt>
                <c:pt idx="197">
                  <c:v>45369</c:v>
                </c:pt>
                <c:pt idx="198">
                  <c:v>45397</c:v>
                </c:pt>
                <c:pt idx="199">
                  <c:v>45398</c:v>
                </c:pt>
                <c:pt idx="200">
                  <c:v>45398</c:v>
                </c:pt>
                <c:pt idx="201">
                  <c:v>45398</c:v>
                </c:pt>
                <c:pt idx="202">
                  <c:v>45428</c:v>
                </c:pt>
                <c:pt idx="203">
                  <c:v>45428</c:v>
                </c:pt>
                <c:pt idx="204">
                  <c:v>45428</c:v>
                </c:pt>
                <c:pt idx="205">
                  <c:v>45428</c:v>
                </c:pt>
                <c:pt idx="206">
                  <c:v>45462</c:v>
                </c:pt>
                <c:pt idx="207">
                  <c:v>45462</c:v>
                </c:pt>
                <c:pt idx="208">
                  <c:v>45462</c:v>
                </c:pt>
                <c:pt idx="209">
                  <c:v>45462</c:v>
                </c:pt>
                <c:pt idx="210">
                  <c:v>45477</c:v>
                </c:pt>
                <c:pt idx="211">
                  <c:v>45488</c:v>
                </c:pt>
                <c:pt idx="212">
                  <c:v>45488</c:v>
                </c:pt>
                <c:pt idx="213">
                  <c:v>45488</c:v>
                </c:pt>
                <c:pt idx="214">
                  <c:v>45488</c:v>
                </c:pt>
                <c:pt idx="215">
                  <c:v>45489</c:v>
                </c:pt>
                <c:pt idx="216">
                  <c:v>45489</c:v>
                </c:pt>
                <c:pt idx="217">
                  <c:v>45489</c:v>
                </c:pt>
                <c:pt idx="218">
                  <c:v>45489</c:v>
                </c:pt>
                <c:pt idx="219">
                  <c:v>45489</c:v>
                </c:pt>
                <c:pt idx="220">
                  <c:v>45489</c:v>
                </c:pt>
                <c:pt idx="221">
                  <c:v>45489</c:v>
                </c:pt>
                <c:pt idx="222">
                  <c:v>45491</c:v>
                </c:pt>
                <c:pt idx="223">
                  <c:v>45491</c:v>
                </c:pt>
                <c:pt idx="224">
                  <c:v>45491</c:v>
                </c:pt>
                <c:pt idx="225">
                  <c:v>45495</c:v>
                </c:pt>
                <c:pt idx="226">
                  <c:v>45498</c:v>
                </c:pt>
                <c:pt idx="227">
                  <c:v>45498</c:v>
                </c:pt>
                <c:pt idx="228">
                  <c:v>45498</c:v>
                </c:pt>
                <c:pt idx="229">
                  <c:v>45518</c:v>
                </c:pt>
                <c:pt idx="230">
                  <c:v>45520</c:v>
                </c:pt>
                <c:pt idx="231">
                  <c:v>45520</c:v>
                </c:pt>
                <c:pt idx="232">
                  <c:v>45520</c:v>
                </c:pt>
                <c:pt idx="233">
                  <c:v>45520</c:v>
                </c:pt>
                <c:pt idx="234">
                  <c:v>45523</c:v>
                </c:pt>
                <c:pt idx="235">
                  <c:v>45527</c:v>
                </c:pt>
                <c:pt idx="236">
                  <c:v>45527</c:v>
                </c:pt>
                <c:pt idx="237">
                  <c:v>45551</c:v>
                </c:pt>
                <c:pt idx="238">
                  <c:v>45551</c:v>
                </c:pt>
                <c:pt idx="239">
                  <c:v>45551</c:v>
                </c:pt>
                <c:pt idx="240">
                  <c:v>45551</c:v>
                </c:pt>
                <c:pt idx="241">
                  <c:v>45581</c:v>
                </c:pt>
                <c:pt idx="242">
                  <c:v>45581</c:v>
                </c:pt>
                <c:pt idx="243">
                  <c:v>45581</c:v>
                </c:pt>
                <c:pt idx="244">
                  <c:v>45581</c:v>
                </c:pt>
                <c:pt idx="245">
                  <c:v>45593</c:v>
                </c:pt>
                <c:pt idx="246">
                  <c:v>45596</c:v>
                </c:pt>
                <c:pt idx="247">
                  <c:v>45596</c:v>
                </c:pt>
                <c:pt idx="248">
                  <c:v>45614</c:v>
                </c:pt>
                <c:pt idx="249">
                  <c:v>45614</c:v>
                </c:pt>
                <c:pt idx="250">
                  <c:v>45614</c:v>
                </c:pt>
                <c:pt idx="251">
                  <c:v>45614</c:v>
                </c:pt>
                <c:pt idx="252">
                  <c:v>45642</c:v>
                </c:pt>
                <c:pt idx="253">
                  <c:v>45642</c:v>
                </c:pt>
                <c:pt idx="254">
                  <c:v>45642</c:v>
                </c:pt>
                <c:pt idx="255">
                  <c:v>45642</c:v>
                </c:pt>
                <c:pt idx="256">
                  <c:v>45672</c:v>
                </c:pt>
                <c:pt idx="257">
                  <c:v>45672</c:v>
                </c:pt>
                <c:pt idx="258">
                  <c:v>45672</c:v>
                </c:pt>
                <c:pt idx="259">
                  <c:v>45674</c:v>
                </c:pt>
                <c:pt idx="260">
                  <c:v>45705</c:v>
                </c:pt>
                <c:pt idx="261">
                  <c:v>45705</c:v>
                </c:pt>
                <c:pt idx="262">
                  <c:v>45705</c:v>
                </c:pt>
                <c:pt idx="263">
                  <c:v>45705</c:v>
                </c:pt>
                <c:pt idx="264">
                  <c:v>45733</c:v>
                </c:pt>
                <c:pt idx="265">
                  <c:v>45733</c:v>
                </c:pt>
                <c:pt idx="266">
                  <c:v>45733</c:v>
                </c:pt>
                <c:pt idx="267">
                  <c:v>45733</c:v>
                </c:pt>
                <c:pt idx="268">
                  <c:v>45741</c:v>
                </c:pt>
                <c:pt idx="269" formatCode="d\ mmm\ yyyy">
                  <c:v>45762</c:v>
                </c:pt>
                <c:pt idx="270" formatCode="d\ mmm\ yyyy">
                  <c:v>45762</c:v>
                </c:pt>
                <c:pt idx="271" formatCode="d\ mmm\ yyyy">
                  <c:v>45762</c:v>
                </c:pt>
                <c:pt idx="272">
                  <c:v>45764</c:v>
                </c:pt>
                <c:pt idx="273" formatCode="d\ mmm\ yyyy">
                  <c:v>45792</c:v>
                </c:pt>
                <c:pt idx="274" formatCode="d\ mmm\ yyyy">
                  <c:v>45792</c:v>
                </c:pt>
                <c:pt idx="275" formatCode="d\ mmm\ yyyy">
                  <c:v>45792</c:v>
                </c:pt>
                <c:pt idx="276" formatCode="d\ mmm\ yyyy">
                  <c:v>45817</c:v>
                </c:pt>
                <c:pt idx="277">
                  <c:v>45817</c:v>
                </c:pt>
                <c:pt idx="278" formatCode="d\ mmm\ yyyy">
                  <c:v>45824</c:v>
                </c:pt>
                <c:pt idx="279" formatCode="d\ mmm\ yyyy">
                  <c:v>45824</c:v>
                </c:pt>
                <c:pt idx="280" formatCode="d\ mmm\ yyyy">
                  <c:v>45824</c:v>
                </c:pt>
                <c:pt idx="281">
                  <c:v>45825</c:v>
                </c:pt>
                <c:pt idx="282" formatCode="d\ mmm\ yyyy">
                  <c:v>45853</c:v>
                </c:pt>
                <c:pt idx="283" formatCode="d\ mmm\ yyyy">
                  <c:v>45853</c:v>
                </c:pt>
                <c:pt idx="284" formatCode="d\ mmm\ yyyy">
                  <c:v>45853</c:v>
                </c:pt>
                <c:pt idx="285">
                  <c:v>45854</c:v>
                </c:pt>
              </c:numCache>
            </c:numRef>
          </c:cat>
          <c:val>
            <c:numRef>
              <c:f>'Portfolio  Holdings'!$D$4:$D$289</c:f>
              <c:numCache>
                <c:formatCode>General</c:formatCode>
                <c:ptCount val="286"/>
                <c:pt idx="0">
                  <c:v>100</c:v>
                </c:pt>
                <c:pt idx="1">
                  <c:v>599</c:v>
                </c:pt>
                <c:pt idx="2">
                  <c:v>1098</c:v>
                </c:pt>
                <c:pt idx="3">
                  <c:v>997</c:v>
                </c:pt>
                <c:pt idx="4">
                  <c:v>502</c:v>
                </c:pt>
                <c:pt idx="5">
                  <c:v>1001</c:v>
                </c:pt>
                <c:pt idx="6">
                  <c:v>1500</c:v>
                </c:pt>
                <c:pt idx="7">
                  <c:v>1999</c:v>
                </c:pt>
                <c:pt idx="8">
                  <c:v>2998</c:v>
                </c:pt>
                <c:pt idx="9">
                  <c:v>3497</c:v>
                </c:pt>
                <c:pt idx="10">
                  <c:v>3996</c:v>
                </c:pt>
                <c:pt idx="11">
                  <c:v>4991</c:v>
                </c:pt>
                <c:pt idx="12">
                  <c:v>3996</c:v>
                </c:pt>
                <c:pt idx="13">
                  <c:v>4495</c:v>
                </c:pt>
                <c:pt idx="14">
                  <c:v>4994</c:v>
                </c:pt>
                <c:pt idx="15">
                  <c:v>5493</c:v>
                </c:pt>
                <c:pt idx="16">
                  <c:v>5992</c:v>
                </c:pt>
                <c:pt idx="17">
                  <c:v>6491</c:v>
                </c:pt>
                <c:pt idx="18">
                  <c:v>6990</c:v>
                </c:pt>
                <c:pt idx="19">
                  <c:v>7489</c:v>
                </c:pt>
                <c:pt idx="20">
                  <c:v>7988</c:v>
                </c:pt>
                <c:pt idx="21">
                  <c:v>8487</c:v>
                </c:pt>
                <c:pt idx="22">
                  <c:v>12317</c:v>
                </c:pt>
                <c:pt idx="23">
                  <c:v>8487</c:v>
                </c:pt>
                <c:pt idx="24">
                  <c:v>8986</c:v>
                </c:pt>
                <c:pt idx="25">
                  <c:v>7977</c:v>
                </c:pt>
                <c:pt idx="26">
                  <c:v>8986</c:v>
                </c:pt>
                <c:pt idx="27">
                  <c:v>9485</c:v>
                </c:pt>
                <c:pt idx="28">
                  <c:v>9984</c:v>
                </c:pt>
                <c:pt idx="29">
                  <c:v>10483</c:v>
                </c:pt>
                <c:pt idx="30">
                  <c:v>10682</c:v>
                </c:pt>
                <c:pt idx="31">
                  <c:v>11181</c:v>
                </c:pt>
                <c:pt idx="32">
                  <c:v>11680</c:v>
                </c:pt>
                <c:pt idx="33">
                  <c:v>12179</c:v>
                </c:pt>
                <c:pt idx="34">
                  <c:v>12378</c:v>
                </c:pt>
                <c:pt idx="35">
                  <c:v>12877</c:v>
                </c:pt>
                <c:pt idx="36">
                  <c:v>13376</c:v>
                </c:pt>
                <c:pt idx="37">
                  <c:v>13875</c:v>
                </c:pt>
                <c:pt idx="38">
                  <c:v>14374</c:v>
                </c:pt>
                <c:pt idx="39">
                  <c:v>14873</c:v>
                </c:pt>
                <c:pt idx="40">
                  <c:v>15072</c:v>
                </c:pt>
                <c:pt idx="41">
                  <c:v>15571</c:v>
                </c:pt>
                <c:pt idx="42">
                  <c:v>16070</c:v>
                </c:pt>
                <c:pt idx="43">
                  <c:v>16269</c:v>
                </c:pt>
                <c:pt idx="44">
                  <c:v>16768</c:v>
                </c:pt>
                <c:pt idx="45">
                  <c:v>17267</c:v>
                </c:pt>
                <c:pt idx="46">
                  <c:v>25222</c:v>
                </c:pt>
                <c:pt idx="47">
                  <c:v>24198</c:v>
                </c:pt>
                <c:pt idx="48">
                  <c:v>16243</c:v>
                </c:pt>
                <c:pt idx="49">
                  <c:v>17266</c:v>
                </c:pt>
                <c:pt idx="50">
                  <c:v>17765</c:v>
                </c:pt>
                <c:pt idx="51">
                  <c:v>18264</c:v>
                </c:pt>
                <c:pt idx="52">
                  <c:v>18463</c:v>
                </c:pt>
                <c:pt idx="53">
                  <c:v>18962</c:v>
                </c:pt>
                <c:pt idx="54">
                  <c:v>19461</c:v>
                </c:pt>
                <c:pt idx="55">
                  <c:v>19960</c:v>
                </c:pt>
                <c:pt idx="56">
                  <c:v>20459</c:v>
                </c:pt>
                <c:pt idx="57">
                  <c:v>20658</c:v>
                </c:pt>
                <c:pt idx="58">
                  <c:v>21157</c:v>
                </c:pt>
                <c:pt idx="59">
                  <c:v>21656</c:v>
                </c:pt>
                <c:pt idx="60">
                  <c:v>21855</c:v>
                </c:pt>
                <c:pt idx="61">
                  <c:v>22354</c:v>
                </c:pt>
                <c:pt idx="62">
                  <c:v>22853</c:v>
                </c:pt>
                <c:pt idx="63">
                  <c:v>23052</c:v>
                </c:pt>
                <c:pt idx="64">
                  <c:v>23551</c:v>
                </c:pt>
                <c:pt idx="65">
                  <c:v>24050</c:v>
                </c:pt>
                <c:pt idx="66">
                  <c:v>24249</c:v>
                </c:pt>
                <c:pt idx="67">
                  <c:v>24748</c:v>
                </c:pt>
                <c:pt idx="68">
                  <c:v>25247</c:v>
                </c:pt>
                <c:pt idx="69">
                  <c:v>25746</c:v>
                </c:pt>
                <c:pt idx="70">
                  <c:v>25945</c:v>
                </c:pt>
                <c:pt idx="71">
                  <c:v>26444</c:v>
                </c:pt>
                <c:pt idx="72">
                  <c:v>26643</c:v>
                </c:pt>
                <c:pt idx="73">
                  <c:v>27142</c:v>
                </c:pt>
                <c:pt idx="74">
                  <c:v>27641</c:v>
                </c:pt>
                <c:pt idx="75">
                  <c:v>28383</c:v>
                </c:pt>
                <c:pt idx="76">
                  <c:v>29104.6</c:v>
                </c:pt>
                <c:pt idx="77">
                  <c:v>30103.599999999999</c:v>
                </c:pt>
                <c:pt idx="78">
                  <c:v>30573.5</c:v>
                </c:pt>
                <c:pt idx="79">
                  <c:v>30772.5</c:v>
                </c:pt>
                <c:pt idx="80">
                  <c:v>31271.5</c:v>
                </c:pt>
                <c:pt idx="81">
                  <c:v>31770.5</c:v>
                </c:pt>
                <c:pt idx="82">
                  <c:v>32336.78</c:v>
                </c:pt>
                <c:pt idx="83">
                  <c:v>32835.78</c:v>
                </c:pt>
                <c:pt idx="84">
                  <c:v>33034.78</c:v>
                </c:pt>
                <c:pt idx="85">
                  <c:v>33533.78</c:v>
                </c:pt>
                <c:pt idx="86">
                  <c:v>34056.879999999997</c:v>
                </c:pt>
                <c:pt idx="87">
                  <c:v>34548.53</c:v>
                </c:pt>
                <c:pt idx="88">
                  <c:v>35047.53</c:v>
                </c:pt>
                <c:pt idx="89">
                  <c:v>35246.53</c:v>
                </c:pt>
                <c:pt idx="90">
                  <c:v>35745.53</c:v>
                </c:pt>
                <c:pt idx="91">
                  <c:v>36202.879999999997</c:v>
                </c:pt>
                <c:pt idx="92">
                  <c:v>36701.879999999997</c:v>
                </c:pt>
                <c:pt idx="93">
                  <c:v>36900.879999999997</c:v>
                </c:pt>
                <c:pt idx="94">
                  <c:v>37399.879999999997</c:v>
                </c:pt>
                <c:pt idx="95">
                  <c:v>37898.879999999997</c:v>
                </c:pt>
                <c:pt idx="96">
                  <c:v>38397.879999999997</c:v>
                </c:pt>
                <c:pt idx="97">
                  <c:v>38596.879999999997</c:v>
                </c:pt>
                <c:pt idx="98">
                  <c:v>39061.93</c:v>
                </c:pt>
                <c:pt idx="99">
                  <c:v>39560.93</c:v>
                </c:pt>
                <c:pt idx="100">
                  <c:v>39759.93</c:v>
                </c:pt>
                <c:pt idx="101">
                  <c:v>40258.93</c:v>
                </c:pt>
                <c:pt idx="102">
                  <c:v>40815.85</c:v>
                </c:pt>
                <c:pt idx="103">
                  <c:v>41314.85</c:v>
                </c:pt>
                <c:pt idx="104">
                  <c:v>41813.85</c:v>
                </c:pt>
                <c:pt idx="105">
                  <c:v>42312.85</c:v>
                </c:pt>
                <c:pt idx="106">
                  <c:v>42511.85</c:v>
                </c:pt>
                <c:pt idx="107">
                  <c:v>43510.85</c:v>
                </c:pt>
                <c:pt idx="108">
                  <c:v>43610.85</c:v>
                </c:pt>
                <c:pt idx="109">
                  <c:v>44610.45</c:v>
                </c:pt>
                <c:pt idx="110">
                  <c:v>45528.539999999899</c:v>
                </c:pt>
                <c:pt idx="111">
                  <c:v>46027.539999999899</c:v>
                </c:pt>
                <c:pt idx="112">
                  <c:v>46526.539999999899</c:v>
                </c:pt>
                <c:pt idx="113">
                  <c:v>46725.539999999899</c:v>
                </c:pt>
                <c:pt idx="114">
                  <c:v>47224.539999999899</c:v>
                </c:pt>
                <c:pt idx="115">
                  <c:v>47423.539999999899</c:v>
                </c:pt>
                <c:pt idx="116">
                  <c:v>47622.539999999899</c:v>
                </c:pt>
                <c:pt idx="117">
                  <c:v>48121.539999999899</c:v>
                </c:pt>
                <c:pt idx="118">
                  <c:v>48221.539999999899</c:v>
                </c:pt>
                <c:pt idx="119">
                  <c:v>48720.539999999899</c:v>
                </c:pt>
                <c:pt idx="120">
                  <c:v>49219.539999999899</c:v>
                </c:pt>
                <c:pt idx="121">
                  <c:v>49418.539999999899</c:v>
                </c:pt>
                <c:pt idx="122">
                  <c:v>49917.539999999899</c:v>
                </c:pt>
                <c:pt idx="123">
                  <c:v>50416.539999999899</c:v>
                </c:pt>
                <c:pt idx="124">
                  <c:v>50516.539999999899</c:v>
                </c:pt>
                <c:pt idx="125">
                  <c:v>51015.539999999899</c:v>
                </c:pt>
                <c:pt idx="126">
                  <c:v>51214.539999999899</c:v>
                </c:pt>
                <c:pt idx="127">
                  <c:v>51314.539999999899</c:v>
                </c:pt>
                <c:pt idx="128">
                  <c:v>51813.539999999899</c:v>
                </c:pt>
                <c:pt idx="129">
                  <c:v>52312.539999999899</c:v>
                </c:pt>
                <c:pt idx="130">
                  <c:v>52511.539999999899</c:v>
                </c:pt>
                <c:pt idx="131">
                  <c:v>53010.539999999899</c:v>
                </c:pt>
                <c:pt idx="132">
                  <c:v>53209.539999999899</c:v>
                </c:pt>
                <c:pt idx="133">
                  <c:v>53708.539999999899</c:v>
                </c:pt>
                <c:pt idx="134">
                  <c:v>53907.539999999899</c:v>
                </c:pt>
                <c:pt idx="135">
                  <c:v>54406.539999999899</c:v>
                </c:pt>
                <c:pt idx="136">
                  <c:v>54605.539999999899</c:v>
                </c:pt>
                <c:pt idx="137">
                  <c:v>55104.539999999899</c:v>
                </c:pt>
                <c:pt idx="138">
                  <c:v>55204.539999999899</c:v>
                </c:pt>
                <c:pt idx="139">
                  <c:v>55304.539999999899</c:v>
                </c:pt>
                <c:pt idx="140">
                  <c:v>55503.539999999899</c:v>
                </c:pt>
                <c:pt idx="141">
                  <c:v>56002.539999999899</c:v>
                </c:pt>
                <c:pt idx="142">
                  <c:v>56201.539999999899</c:v>
                </c:pt>
                <c:pt idx="143">
                  <c:v>56700.539999999899</c:v>
                </c:pt>
                <c:pt idx="144">
                  <c:v>57199.539999999899</c:v>
                </c:pt>
                <c:pt idx="145">
                  <c:v>57398.539999999899</c:v>
                </c:pt>
                <c:pt idx="146">
                  <c:v>57897.539999999899</c:v>
                </c:pt>
                <c:pt idx="147">
                  <c:v>57997.539999999899</c:v>
                </c:pt>
                <c:pt idx="148">
                  <c:v>58496.539999999899</c:v>
                </c:pt>
                <c:pt idx="149">
                  <c:v>58695.539999999899</c:v>
                </c:pt>
                <c:pt idx="150">
                  <c:v>59194.539999999899</c:v>
                </c:pt>
                <c:pt idx="151">
                  <c:v>59693.539999999899</c:v>
                </c:pt>
                <c:pt idx="152">
                  <c:v>59892.539999999899</c:v>
                </c:pt>
                <c:pt idx="153">
                  <c:v>60391.539999999899</c:v>
                </c:pt>
                <c:pt idx="154">
                  <c:v>60491.539999999899</c:v>
                </c:pt>
                <c:pt idx="155">
                  <c:v>60690.539999999899</c:v>
                </c:pt>
                <c:pt idx="156">
                  <c:v>61189.539999999899</c:v>
                </c:pt>
                <c:pt idx="157">
                  <c:v>61388.539999999899</c:v>
                </c:pt>
                <c:pt idx="158">
                  <c:v>61887.539999999899</c:v>
                </c:pt>
                <c:pt idx="159">
                  <c:v>62386.539999999899</c:v>
                </c:pt>
                <c:pt idx="160">
                  <c:v>62885.539999999899</c:v>
                </c:pt>
                <c:pt idx="161">
                  <c:v>63084.539999999899</c:v>
                </c:pt>
                <c:pt idx="162">
                  <c:v>63184.539999999899</c:v>
                </c:pt>
                <c:pt idx="163">
                  <c:v>63383.539999999899</c:v>
                </c:pt>
                <c:pt idx="164">
                  <c:v>63882.539999999899</c:v>
                </c:pt>
                <c:pt idx="165">
                  <c:v>64381.539999999899</c:v>
                </c:pt>
                <c:pt idx="166">
                  <c:v>64580.539999999899</c:v>
                </c:pt>
                <c:pt idx="167">
                  <c:v>64680.539999999899</c:v>
                </c:pt>
                <c:pt idx="168">
                  <c:v>65179.539999999899</c:v>
                </c:pt>
                <c:pt idx="169">
                  <c:v>65678.539999999994</c:v>
                </c:pt>
                <c:pt idx="170">
                  <c:v>65877.539999999994</c:v>
                </c:pt>
                <c:pt idx="171">
                  <c:v>65977.539999999994</c:v>
                </c:pt>
                <c:pt idx="172">
                  <c:v>66176.539999999994</c:v>
                </c:pt>
                <c:pt idx="173">
                  <c:v>66675.539999999994</c:v>
                </c:pt>
                <c:pt idx="174">
                  <c:v>67174.539999999994</c:v>
                </c:pt>
                <c:pt idx="175">
                  <c:v>67673.539999999994</c:v>
                </c:pt>
                <c:pt idx="176">
                  <c:v>68172.539999999994</c:v>
                </c:pt>
                <c:pt idx="177">
                  <c:v>68671.539999999994</c:v>
                </c:pt>
                <c:pt idx="178">
                  <c:v>69170.539999999994</c:v>
                </c:pt>
                <c:pt idx="179">
                  <c:v>67802.539999999994</c:v>
                </c:pt>
                <c:pt idx="180">
                  <c:v>58217.539999999899</c:v>
                </c:pt>
                <c:pt idx="181">
                  <c:v>39676.539999999899</c:v>
                </c:pt>
                <c:pt idx="182">
                  <c:v>58217.539999999899</c:v>
                </c:pt>
                <c:pt idx="183">
                  <c:v>67801.539999999994</c:v>
                </c:pt>
                <c:pt idx="184">
                  <c:v>69169.539999999994</c:v>
                </c:pt>
                <c:pt idx="185">
                  <c:v>69668.539999999994</c:v>
                </c:pt>
                <c:pt idx="186">
                  <c:v>70167.539999999994</c:v>
                </c:pt>
                <c:pt idx="187">
                  <c:v>70666.539999999994</c:v>
                </c:pt>
                <c:pt idx="188">
                  <c:v>71165.539999999994</c:v>
                </c:pt>
                <c:pt idx="189">
                  <c:v>61869.539999999899</c:v>
                </c:pt>
                <c:pt idx="190">
                  <c:v>81703.539999999994</c:v>
                </c:pt>
                <c:pt idx="191">
                  <c:v>61868.539999999899</c:v>
                </c:pt>
                <c:pt idx="192">
                  <c:v>30518.539999999899</c:v>
                </c:pt>
                <c:pt idx="193">
                  <c:v>61867.539999999899</c:v>
                </c:pt>
                <c:pt idx="194">
                  <c:v>62366.539999999899</c:v>
                </c:pt>
                <c:pt idx="195">
                  <c:v>62865.539999999899</c:v>
                </c:pt>
                <c:pt idx="196">
                  <c:v>63364.539999999899</c:v>
                </c:pt>
                <c:pt idx="197">
                  <c:v>63863.539999999899</c:v>
                </c:pt>
                <c:pt idx="198">
                  <c:v>64362.539999999899</c:v>
                </c:pt>
                <c:pt idx="199">
                  <c:v>64861.539999999899</c:v>
                </c:pt>
                <c:pt idx="200">
                  <c:v>65360.539999999899</c:v>
                </c:pt>
                <c:pt idx="201">
                  <c:v>65859.539999999994</c:v>
                </c:pt>
                <c:pt idx="202">
                  <c:v>66358.539999999994</c:v>
                </c:pt>
                <c:pt idx="203">
                  <c:v>66857.539999999994</c:v>
                </c:pt>
                <c:pt idx="204">
                  <c:v>67356.539999999994</c:v>
                </c:pt>
                <c:pt idx="205">
                  <c:v>67855.539999999994</c:v>
                </c:pt>
                <c:pt idx="206">
                  <c:v>68354.539999999994</c:v>
                </c:pt>
                <c:pt idx="207">
                  <c:v>68853.539999999994</c:v>
                </c:pt>
                <c:pt idx="208">
                  <c:v>69352.539999999994</c:v>
                </c:pt>
                <c:pt idx="209">
                  <c:v>69851.539999999994</c:v>
                </c:pt>
                <c:pt idx="210">
                  <c:v>49590.539999999899</c:v>
                </c:pt>
                <c:pt idx="211">
                  <c:v>17422.539999999899</c:v>
                </c:pt>
                <c:pt idx="212">
                  <c:v>-1780.46</c:v>
                </c:pt>
                <c:pt idx="213">
                  <c:v>-11706.46</c:v>
                </c:pt>
                <c:pt idx="214">
                  <c:v>-13125.46</c:v>
                </c:pt>
                <c:pt idx="215">
                  <c:v>-12626.46</c:v>
                </c:pt>
                <c:pt idx="216">
                  <c:v>-12127.46</c:v>
                </c:pt>
                <c:pt idx="217">
                  <c:v>-11628.46</c:v>
                </c:pt>
                <c:pt idx="218">
                  <c:v>-11129.46</c:v>
                </c:pt>
                <c:pt idx="219">
                  <c:v>-10630.46</c:v>
                </c:pt>
                <c:pt idx="220">
                  <c:v>-10131.459999999999</c:v>
                </c:pt>
                <c:pt idx="221">
                  <c:v>-10031.459999999999</c:v>
                </c:pt>
                <c:pt idx="222">
                  <c:v>-17815.46</c:v>
                </c:pt>
                <c:pt idx="223">
                  <c:v>-20557.46</c:v>
                </c:pt>
                <c:pt idx="224">
                  <c:v>-20655.46</c:v>
                </c:pt>
                <c:pt idx="225">
                  <c:v>2092.53999999999</c:v>
                </c:pt>
                <c:pt idx="226">
                  <c:v>12091.539999999901</c:v>
                </c:pt>
                <c:pt idx="227">
                  <c:v>22090.539999999899</c:v>
                </c:pt>
                <c:pt idx="228">
                  <c:v>31640.7399999999</c:v>
                </c:pt>
                <c:pt idx="229">
                  <c:v>11640.7399999999</c:v>
                </c:pt>
                <c:pt idx="230">
                  <c:v>12139.7399999999</c:v>
                </c:pt>
                <c:pt idx="231">
                  <c:v>12638.7399999999</c:v>
                </c:pt>
                <c:pt idx="232">
                  <c:v>13137.7399999999</c:v>
                </c:pt>
                <c:pt idx="233">
                  <c:v>13636.7399999999</c:v>
                </c:pt>
                <c:pt idx="234">
                  <c:v>18906.5099999999</c:v>
                </c:pt>
                <c:pt idx="235">
                  <c:v>26205.5099999999</c:v>
                </c:pt>
                <c:pt idx="236">
                  <c:v>33504.5099999999</c:v>
                </c:pt>
                <c:pt idx="237">
                  <c:v>34003.5099999999</c:v>
                </c:pt>
                <c:pt idx="238">
                  <c:v>34502.5099999999</c:v>
                </c:pt>
                <c:pt idx="239">
                  <c:v>35001.5099999999</c:v>
                </c:pt>
                <c:pt idx="240">
                  <c:v>35500.5099999999</c:v>
                </c:pt>
                <c:pt idx="241">
                  <c:v>35999.5099999999</c:v>
                </c:pt>
                <c:pt idx="242">
                  <c:v>36498.5099999999</c:v>
                </c:pt>
                <c:pt idx="243">
                  <c:v>36997.5099999999</c:v>
                </c:pt>
                <c:pt idx="244">
                  <c:v>37496.5099999999</c:v>
                </c:pt>
                <c:pt idx="245">
                  <c:v>28150.5099999999</c:v>
                </c:pt>
                <c:pt idx="246">
                  <c:v>30149.5099999999</c:v>
                </c:pt>
                <c:pt idx="247">
                  <c:v>32948.5099999999</c:v>
                </c:pt>
                <c:pt idx="248">
                  <c:v>33447.5099999999</c:v>
                </c:pt>
                <c:pt idx="249">
                  <c:v>33946.5099999999</c:v>
                </c:pt>
                <c:pt idx="250">
                  <c:v>34445.5099999999</c:v>
                </c:pt>
                <c:pt idx="251">
                  <c:v>34944.5099999999</c:v>
                </c:pt>
                <c:pt idx="252">
                  <c:v>35443.5099999999</c:v>
                </c:pt>
                <c:pt idx="253">
                  <c:v>35942.5099999999</c:v>
                </c:pt>
                <c:pt idx="254">
                  <c:v>36441.5099999999</c:v>
                </c:pt>
                <c:pt idx="255">
                  <c:v>36940.5099999999</c:v>
                </c:pt>
                <c:pt idx="256">
                  <c:v>37439.5099999999</c:v>
                </c:pt>
                <c:pt idx="257">
                  <c:v>37938.5099999999</c:v>
                </c:pt>
                <c:pt idx="258">
                  <c:v>38437.5099999999</c:v>
                </c:pt>
                <c:pt idx="259">
                  <c:v>38936.5099999999</c:v>
                </c:pt>
                <c:pt idx="260">
                  <c:v>39435.5099999999</c:v>
                </c:pt>
                <c:pt idx="261">
                  <c:v>39934.5099999999</c:v>
                </c:pt>
                <c:pt idx="262">
                  <c:v>40433.5099999999</c:v>
                </c:pt>
                <c:pt idx="263">
                  <c:v>40932.5099999999</c:v>
                </c:pt>
                <c:pt idx="264">
                  <c:v>41431.5099999999</c:v>
                </c:pt>
                <c:pt idx="265">
                  <c:v>41930.5099999999</c:v>
                </c:pt>
                <c:pt idx="266">
                  <c:v>42429.5099999999</c:v>
                </c:pt>
                <c:pt idx="267">
                  <c:v>42928.5099999999</c:v>
                </c:pt>
                <c:pt idx="268">
                  <c:v>41626.089999999997</c:v>
                </c:pt>
                <c:pt idx="269">
                  <c:v>42125.09</c:v>
                </c:pt>
                <c:pt idx="270">
                  <c:v>42624.09</c:v>
                </c:pt>
                <c:pt idx="271">
                  <c:v>43123.09</c:v>
                </c:pt>
                <c:pt idx="272">
                  <c:v>42629.6499999999</c:v>
                </c:pt>
                <c:pt idx="273">
                  <c:v>43128.6499999999</c:v>
                </c:pt>
                <c:pt idx="274">
                  <c:v>43627.6499999999</c:v>
                </c:pt>
                <c:pt idx="275">
                  <c:v>44126.6499999999</c:v>
                </c:pt>
                <c:pt idx="276">
                  <c:v>43112.6499999999</c:v>
                </c:pt>
                <c:pt idx="277">
                  <c:v>41658.409999999902</c:v>
                </c:pt>
                <c:pt idx="278">
                  <c:v>42157.409999999902</c:v>
                </c:pt>
                <c:pt idx="279">
                  <c:v>42656.409999999902</c:v>
                </c:pt>
                <c:pt idx="280">
                  <c:v>43155.409999999902</c:v>
                </c:pt>
                <c:pt idx="281">
                  <c:v>42610.039999999899</c:v>
                </c:pt>
                <c:pt idx="282">
                  <c:v>43109.039999999899</c:v>
                </c:pt>
                <c:pt idx="283">
                  <c:v>43608.039999999899</c:v>
                </c:pt>
                <c:pt idx="284">
                  <c:v>44107.039999999899</c:v>
                </c:pt>
                <c:pt idx="285">
                  <c:v>43529.389999999898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7C-4653-A344-CA37CFF6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0213"/>
        <c:axId val="1340821292"/>
      </c:lineChart>
      <c:dateAx>
        <c:axId val="989570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HK"/>
              </a:p>
            </c:rich>
          </c:tx>
          <c:overlay val="0"/>
        </c:title>
        <c:numFmt formatCode="dd/mm/yyyy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0821292"/>
        <c:crosses val="autoZero"/>
        <c:auto val="1"/>
        <c:lblOffset val="100"/>
        <c:baseTimeUnit val="days"/>
      </c:dateAx>
      <c:valAx>
        <c:axId val="1340821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HK" b="0">
                    <a:solidFill>
                      <a:srgbClr val="000000"/>
                    </a:solidFill>
                    <a:latin typeface="+mn-lt"/>
                  </a:rPr>
                  <a:t>Cum Sum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895702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186-4421-AB3D-F2B570D6F7C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186-4421-AB3D-F2B570D6F7C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186-4421-AB3D-F2B570D6F7CC}"/>
              </c:ext>
            </c:extLst>
          </c:dPt>
          <c:cat>
            <c:strRef>
              <c:f>'MF holdings and transactions'!$A$312:$A$314</c:f>
              <c:strCache>
                <c:ptCount val="3"/>
                <c:pt idx="0">
                  <c:v>Large + Mid cap</c:v>
                </c:pt>
                <c:pt idx="1">
                  <c:v>International</c:v>
                </c:pt>
                <c:pt idx="2">
                  <c:v>Debt</c:v>
                </c:pt>
              </c:strCache>
            </c:strRef>
          </c:cat>
          <c:val>
            <c:numRef>
              <c:f>'MF holdings and transactions'!$D$312:$D$314</c:f>
              <c:numCache>
                <c:formatCode>0%</c:formatCode>
                <c:ptCount val="3"/>
                <c:pt idx="0">
                  <c:v>0.45</c:v>
                </c:pt>
                <c:pt idx="1">
                  <c:v>0.25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86-4421-AB3D-F2B570D6F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1.4250000000000007E-2"/>
          <c:y val="5.5390835579514817E-2"/>
          <c:w val="0.93816666666666682"/>
          <c:h val="0.8999999999999998"/>
        </c:manualLayout>
      </c:layout>
      <c:pieChart>
        <c:varyColors val="1"/>
        <c:ser>
          <c:idx val="0"/>
          <c:order val="0"/>
          <c:tx>
            <c:strRef>
              <c:f>'MF holdings and transactions'!$B$310:$B$311</c:f>
              <c:strCache>
                <c:ptCount val="2"/>
                <c:pt idx="0">
                  <c:v>DIVERSIFICATION</c:v>
                </c:pt>
                <c:pt idx="1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F94-478D-89C1-3688B1AE703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F94-478D-89C1-3688B1AE703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EF94-478D-89C1-3688B1AE7038}"/>
              </c:ext>
            </c:extLst>
          </c:dPt>
          <c:cat>
            <c:strRef>
              <c:f>'MF holdings and transactions'!$A$312:$A$314</c:f>
              <c:strCache>
                <c:ptCount val="3"/>
                <c:pt idx="0">
                  <c:v>Large + Mid cap</c:v>
                </c:pt>
                <c:pt idx="1">
                  <c:v>International</c:v>
                </c:pt>
                <c:pt idx="2">
                  <c:v>Debt</c:v>
                </c:pt>
              </c:strCache>
            </c:strRef>
          </c:cat>
          <c:val>
            <c:numRef>
              <c:f>'MF holdings and transactions'!$B$312:$B$314</c:f>
              <c:numCache>
                <c:formatCode>0.00%</c:formatCode>
                <c:ptCount val="3"/>
                <c:pt idx="0">
                  <c:v>0.63835714399981225</c:v>
                </c:pt>
                <c:pt idx="1">
                  <c:v>0.34974071546705632</c:v>
                </c:pt>
                <c:pt idx="2">
                  <c:v>1.1902140533131418E-2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94-478D-89C1-3688B1AE7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25</xdr:row>
      <xdr:rowOff>152400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320</xdr:row>
      <xdr:rowOff>57150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371475</xdr:colOff>
      <xdr:row>320</xdr:row>
      <xdr:rowOff>95250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Q300"/>
  <sheetViews>
    <sheetView tabSelected="1" workbookViewId="0">
      <selection activeCell="F7" sqref="F7"/>
    </sheetView>
  </sheetViews>
  <sheetFormatPr defaultColWidth="12.6328125" defaultRowHeight="15.75" customHeight="1"/>
  <cols>
    <col min="6" max="6" width="24.90625" customWidth="1"/>
    <col min="7" max="7" width="20.7265625" customWidth="1"/>
    <col min="8" max="8" width="14.08984375" customWidth="1"/>
  </cols>
  <sheetData>
    <row r="2" spans="2:17" ht="15.75" customHeight="1">
      <c r="B2" s="123" t="s">
        <v>0</v>
      </c>
      <c r="C2" s="124"/>
      <c r="D2" s="2">
        <f ca="1">C293</f>
        <v>0.19157734513282773</v>
      </c>
      <c r="F2" s="3" t="s">
        <v>1</v>
      </c>
      <c r="G2" s="2">
        <f ca="1">(F7/F6)^(1/F8) - 1</f>
        <v>0.17137980078826343</v>
      </c>
    </row>
    <row r="3" spans="2:17" ht="15.75" customHeight="1">
      <c r="B3" s="4" t="s">
        <v>2</v>
      </c>
      <c r="C3" s="4" t="s">
        <v>3</v>
      </c>
      <c r="D3" s="123" t="s">
        <v>4</v>
      </c>
      <c r="E3" s="124"/>
    </row>
    <row r="4" spans="2:17" ht="15.75" customHeight="1">
      <c r="B4" s="5">
        <v>44126</v>
      </c>
      <c r="C4" s="6">
        <v>-100</v>
      </c>
      <c r="D4" s="6">
        <f ca="1">IFERROR(__xludf.DUMMYFUNCTION("-(SUM($C$4:C4))"),100)</f>
        <v>100</v>
      </c>
      <c r="E4" s="7">
        <f t="shared" ref="E4:E258" si="0">B4</f>
        <v>44126</v>
      </c>
      <c r="F4" s="7">
        <f>E4</f>
        <v>44126</v>
      </c>
      <c r="G4" s="121"/>
    </row>
    <row r="5" spans="2:17" ht="15.75" customHeight="1">
      <c r="B5" s="5">
        <v>44126</v>
      </c>
      <c r="C5" s="6">
        <v>-499</v>
      </c>
      <c r="D5" s="6">
        <f ca="1">IFERROR(__xludf.DUMMYFUNCTION("-(SUM($C$4:C5))"),599)</f>
        <v>599</v>
      </c>
      <c r="E5" s="7">
        <f t="shared" si="0"/>
        <v>44126</v>
      </c>
      <c r="F5" s="8">
        <f ca="1">TODAY()-1</f>
        <v>45861</v>
      </c>
    </row>
    <row r="6" spans="2:17" ht="15.75" customHeight="1">
      <c r="B6" s="5">
        <v>44126</v>
      </c>
      <c r="C6" s="6">
        <v>-499</v>
      </c>
      <c r="D6" s="6">
        <f ca="1">IFERROR(__xludf.DUMMYFUNCTION("-(SUM($C$4:C6))"),1098)</f>
        <v>1098</v>
      </c>
      <c r="E6" s="7">
        <f t="shared" si="0"/>
        <v>44126</v>
      </c>
      <c r="F6" s="6">
        <f ca="1">IFERROR(__xludf.DUMMYFUNCTION("INDEX(GOOGLEFINANCE(""NIFTY_50"", ""price"", F4), 2, 2)"),11896.45)</f>
        <v>11896.45</v>
      </c>
      <c r="G6" s="6"/>
      <c r="H6" s="6"/>
      <c r="J6" s="6"/>
      <c r="K6" s="6"/>
    </row>
    <row r="7" spans="2:17" ht="15.75" customHeight="1">
      <c r="B7" s="5">
        <v>44152</v>
      </c>
      <c r="C7" s="6">
        <v>101</v>
      </c>
      <c r="D7" s="6">
        <f ca="1">IFERROR(__xludf.DUMMYFUNCTION("-(SUM($C$4:C7))"),997)</f>
        <v>997</v>
      </c>
      <c r="E7" s="7">
        <f t="shared" si="0"/>
        <v>44152</v>
      </c>
      <c r="F7" s="6">
        <f ca="1">IFERROR(__xludf.DUMMYFUNCTION("INDEX(GOOGLEFINANCE(""NIFTY_50"", ""price"", F5), 2, 2)"),25219.9)</f>
        <v>25219.9</v>
      </c>
      <c r="G7" s="6"/>
      <c r="H7" s="6"/>
      <c r="J7" s="6"/>
      <c r="K7" s="6"/>
    </row>
    <row r="8" spans="2:17" ht="15.75" customHeight="1">
      <c r="B8" s="5">
        <v>44162</v>
      </c>
      <c r="C8" s="6">
        <v>495</v>
      </c>
      <c r="D8" s="6">
        <f ca="1">IFERROR(__xludf.DUMMYFUNCTION("-(SUM($C$4:C8))"),502)</f>
        <v>502</v>
      </c>
      <c r="E8" s="7">
        <f t="shared" si="0"/>
        <v>44162</v>
      </c>
      <c r="F8" s="6">
        <f ca="1">(F5-F4)/365.25</f>
        <v>4.7501711156741955</v>
      </c>
      <c r="G8" s="6"/>
      <c r="H8" s="122"/>
    </row>
    <row r="9" spans="2:17" ht="15.75" customHeight="1">
      <c r="B9" s="5">
        <v>44169</v>
      </c>
      <c r="C9" s="6">
        <v>-499</v>
      </c>
      <c r="D9" s="6">
        <f ca="1">IFERROR(__xludf.DUMMYFUNCTION("-(SUM($C$4:C9))"),1001)</f>
        <v>1001</v>
      </c>
      <c r="E9" s="7">
        <f t="shared" si="0"/>
        <v>44169</v>
      </c>
      <c r="H9" s="11"/>
    </row>
    <row r="10" spans="2:17" ht="15.75" customHeight="1">
      <c r="B10" s="5">
        <v>44180</v>
      </c>
      <c r="C10" s="6">
        <v>-499</v>
      </c>
      <c r="D10" s="6">
        <f ca="1">IFERROR(__xludf.DUMMYFUNCTION("-(SUM($C$4:C10))"),1500)</f>
        <v>1500</v>
      </c>
      <c r="E10" s="7">
        <f t="shared" si="0"/>
        <v>44180</v>
      </c>
    </row>
    <row r="11" spans="2:17" ht="15.75" customHeight="1">
      <c r="B11" s="5">
        <v>44181</v>
      </c>
      <c r="C11" s="6">
        <v>-499</v>
      </c>
      <c r="D11" s="6">
        <f ca="1">IFERROR(__xludf.DUMMYFUNCTION("-(SUM($C$4:C11))"),1999)</f>
        <v>1999</v>
      </c>
      <c r="E11" s="7">
        <f t="shared" si="0"/>
        <v>44181</v>
      </c>
    </row>
    <row r="12" spans="2:17" ht="15.75" customHeight="1">
      <c r="B12" s="5">
        <v>44208</v>
      </c>
      <c r="C12" s="6">
        <v>-999</v>
      </c>
      <c r="D12" s="6">
        <f ca="1">IFERROR(__xludf.DUMMYFUNCTION("-(SUM($C$4:C12))"),2998)</f>
        <v>2998</v>
      </c>
      <c r="E12" s="7">
        <f t="shared" si="0"/>
        <v>44208</v>
      </c>
      <c r="G12" s="3" t="s">
        <v>5</v>
      </c>
    </row>
    <row r="13" spans="2:17" ht="15.75" customHeight="1">
      <c r="B13" s="5">
        <v>44211</v>
      </c>
      <c r="C13" s="6">
        <v>-499</v>
      </c>
      <c r="D13" s="6">
        <f ca="1">IFERROR(__xludf.DUMMYFUNCTION("-(SUM($C$4:C13))"),3497)</f>
        <v>3497</v>
      </c>
      <c r="E13" s="7">
        <f t="shared" si="0"/>
        <v>44211</v>
      </c>
      <c r="G13" s="6"/>
      <c r="H13" s="6"/>
      <c r="I13" s="6"/>
      <c r="J13" s="6"/>
      <c r="K13" s="6"/>
      <c r="P13" s="10"/>
      <c r="Q13" s="11"/>
    </row>
    <row r="14" spans="2:17" ht="15.75" customHeight="1">
      <c r="B14" s="5">
        <v>44242</v>
      </c>
      <c r="C14" s="6">
        <v>-499</v>
      </c>
      <c r="D14" s="6">
        <f ca="1">IFERROR(__xludf.DUMMYFUNCTION("-(SUM($C$4:C14))"),3996)</f>
        <v>3996</v>
      </c>
      <c r="E14" s="7">
        <f t="shared" si="0"/>
        <v>44242</v>
      </c>
      <c r="G14" s="1" t="s">
        <v>6</v>
      </c>
      <c r="H14" s="1" t="s">
        <v>7</v>
      </c>
      <c r="I14" s="1" t="s">
        <v>8</v>
      </c>
      <c r="J14" s="6"/>
      <c r="K14" s="6"/>
      <c r="N14" s="6"/>
      <c r="O14" s="6"/>
      <c r="P14" s="10"/>
      <c r="Q14" s="11"/>
    </row>
    <row r="15" spans="2:17" ht="15.75" customHeight="1">
      <c r="B15" s="5">
        <v>44242</v>
      </c>
      <c r="C15" s="6">
        <v>-995</v>
      </c>
      <c r="D15" s="6">
        <f ca="1">IFERROR(__xludf.DUMMYFUNCTION("-(SUM($C$4:C15))"),4991)</f>
        <v>4991</v>
      </c>
      <c r="E15" s="7">
        <f t="shared" si="0"/>
        <v>44242</v>
      </c>
      <c r="G15" s="12">
        <f>'MF holdings and transactions'!A291</f>
        <v>98528</v>
      </c>
      <c r="H15" s="12">
        <f>'MF holdings and transactions'!B291</f>
        <v>36209</v>
      </c>
      <c r="I15" s="13">
        <f ca="1">'MF holdings and transactions'!C291</f>
        <v>60968.395880000004</v>
      </c>
      <c r="N15" s="6"/>
      <c r="O15" s="6"/>
      <c r="P15" s="10"/>
      <c r="Q15" s="11"/>
    </row>
    <row r="16" spans="2:17" ht="15.75" customHeight="1">
      <c r="B16" s="5">
        <v>44242</v>
      </c>
      <c r="C16" s="6">
        <v>995</v>
      </c>
      <c r="D16" s="6">
        <f ca="1">IFERROR(__xludf.DUMMYFUNCTION("-(SUM($C$4:C16))"),3996)</f>
        <v>3996</v>
      </c>
      <c r="E16" s="7">
        <f t="shared" si="0"/>
        <v>44242</v>
      </c>
      <c r="N16" s="6"/>
      <c r="O16" s="6"/>
      <c r="P16" s="10"/>
      <c r="Q16" s="11"/>
    </row>
    <row r="17" spans="2:17" ht="15.75" customHeight="1">
      <c r="B17" s="5">
        <v>44242</v>
      </c>
      <c r="C17" s="6">
        <v>-499</v>
      </c>
      <c r="D17" s="6">
        <f ca="1">IFERROR(__xludf.DUMMYFUNCTION("-(SUM($C$4:C17))"),4495)</f>
        <v>4495</v>
      </c>
      <c r="E17" s="7">
        <f t="shared" si="0"/>
        <v>44242</v>
      </c>
      <c r="G17" s="3" t="s">
        <v>9</v>
      </c>
      <c r="H17" s="6"/>
      <c r="I17" s="6"/>
      <c r="P17" s="10"/>
      <c r="Q17" s="11"/>
    </row>
    <row r="18" spans="2:17" ht="15.75" customHeight="1">
      <c r="B18" s="5">
        <v>44270</v>
      </c>
      <c r="C18" s="6">
        <v>-499</v>
      </c>
      <c r="D18" s="6">
        <f ca="1">IFERROR(__xludf.DUMMYFUNCTION("-(SUM($C$4:C18))"),4994)</f>
        <v>4994</v>
      </c>
      <c r="E18" s="7">
        <f t="shared" si="0"/>
        <v>44270</v>
      </c>
      <c r="G18" s="6"/>
      <c r="H18" s="6"/>
      <c r="I18" s="6"/>
    </row>
    <row r="19" spans="2:17" ht="15.75" customHeight="1">
      <c r="B19" s="5">
        <v>44270</v>
      </c>
      <c r="C19" s="6">
        <v>-499</v>
      </c>
      <c r="D19" s="6">
        <f ca="1">IFERROR(__xludf.DUMMYFUNCTION("-(SUM($C$4:C19))"),5493)</f>
        <v>5493</v>
      </c>
      <c r="E19" s="7">
        <f t="shared" si="0"/>
        <v>44270</v>
      </c>
      <c r="G19" s="1" t="s">
        <v>6</v>
      </c>
      <c r="H19" s="1" t="s">
        <v>7</v>
      </c>
      <c r="I19" s="1" t="s">
        <v>8</v>
      </c>
    </row>
    <row r="20" spans="2:17" ht="15.75" customHeight="1">
      <c r="B20" s="5">
        <v>44301</v>
      </c>
      <c r="C20" s="6">
        <v>-499</v>
      </c>
      <c r="D20" s="6">
        <f ca="1">IFERROR(__xludf.DUMMYFUNCTION("-(SUM($C$4:C20))"),5992)</f>
        <v>5992</v>
      </c>
      <c r="E20" s="7">
        <f t="shared" si="0"/>
        <v>44301</v>
      </c>
      <c r="G20" s="12">
        <f>'Stocks Transaction'!I50</f>
        <v>25362.63</v>
      </c>
      <c r="H20" s="12">
        <f>'Stocks Transaction'!J50</f>
        <v>9296</v>
      </c>
      <c r="I20" s="12">
        <f ca="1">'Stocks Transaction'!K50</f>
        <v>23447.969999999998</v>
      </c>
    </row>
    <row r="21" spans="2:17" ht="15.75" customHeight="1">
      <c r="B21" s="5">
        <v>44301</v>
      </c>
      <c r="C21" s="6">
        <v>-499</v>
      </c>
      <c r="D21" s="6">
        <f ca="1">IFERROR(__xludf.DUMMYFUNCTION("-(SUM($C$4:C21))"),6491)</f>
        <v>6491</v>
      </c>
      <c r="E21" s="7">
        <f t="shared" si="0"/>
        <v>44301</v>
      </c>
      <c r="G21" s="6"/>
      <c r="J21" s="3" t="s">
        <v>10</v>
      </c>
    </row>
    <row r="22" spans="2:17" ht="15.5">
      <c r="B22" s="5">
        <v>44333</v>
      </c>
      <c r="C22" s="6">
        <v>-499</v>
      </c>
      <c r="D22" s="6">
        <f ca="1">IFERROR(__xludf.DUMMYFUNCTION("-(SUM($C$4:C22))"),6990)</f>
        <v>6990</v>
      </c>
      <c r="E22" s="7">
        <f t="shared" si="0"/>
        <v>44333</v>
      </c>
      <c r="F22" s="3" t="s">
        <v>11</v>
      </c>
      <c r="G22" s="6">
        <f t="shared" ref="G22:I22" si="1">G15+G20</f>
        <v>123890.63</v>
      </c>
      <c r="H22" s="6">
        <f t="shared" si="1"/>
        <v>45505</v>
      </c>
      <c r="I22" s="10">
        <f t="shared" ca="1" si="1"/>
        <v>84416.365879999998</v>
      </c>
      <c r="J22" s="13">
        <f ca="1">H22+I22</f>
        <v>129921.36588</v>
      </c>
    </row>
    <row r="23" spans="2:17" ht="15.5">
      <c r="B23" s="5">
        <v>44333</v>
      </c>
      <c r="C23" s="6">
        <v>-499</v>
      </c>
      <c r="D23" s="6">
        <f ca="1">IFERROR(__xludf.DUMMYFUNCTION("-(SUM($C$4:C23))"),7489)</f>
        <v>7489</v>
      </c>
      <c r="E23" s="7">
        <f t="shared" si="0"/>
        <v>44333</v>
      </c>
      <c r="I23" s="3" t="s">
        <v>12</v>
      </c>
      <c r="J23" s="14">
        <f ca="1">G22/J22</f>
        <v>0.95358164656635314</v>
      </c>
      <c r="O23" s="6"/>
    </row>
    <row r="24" spans="2:17" ht="14.5">
      <c r="B24" s="5">
        <v>44362</v>
      </c>
      <c r="C24" s="6">
        <v>-499</v>
      </c>
      <c r="D24" s="6">
        <f ca="1">IFERROR(__xludf.DUMMYFUNCTION("-(SUM($C$4:C24))"),7988)</f>
        <v>7988</v>
      </c>
      <c r="E24" s="7">
        <f t="shared" si="0"/>
        <v>44362</v>
      </c>
      <c r="F24" s="6"/>
      <c r="G24" s="15"/>
      <c r="H24" s="6"/>
      <c r="J24" s="6"/>
      <c r="K24" s="6"/>
      <c r="L24" s="16"/>
      <c r="M24" s="6"/>
      <c r="N24" s="6"/>
      <c r="O24" s="6"/>
    </row>
    <row r="25" spans="2:17" ht="14.5">
      <c r="B25" s="5">
        <v>44362</v>
      </c>
      <c r="C25" s="6">
        <v>-499</v>
      </c>
      <c r="D25" s="6">
        <f ca="1">IFERROR(__xludf.DUMMYFUNCTION("-(SUM($C$4:C25))"),8487)</f>
        <v>8487</v>
      </c>
      <c r="E25" s="7">
        <f t="shared" si="0"/>
        <v>44362</v>
      </c>
      <c r="F25" s="6"/>
      <c r="I25" s="15"/>
      <c r="L25" s="16"/>
      <c r="M25" s="6"/>
      <c r="N25" s="6"/>
      <c r="O25" s="6"/>
    </row>
    <row r="26" spans="2:17" ht="14.5">
      <c r="B26" s="5">
        <v>44376</v>
      </c>
      <c r="C26" s="6">
        <v>-3830</v>
      </c>
      <c r="D26" s="6">
        <f ca="1">IFERROR(__xludf.DUMMYFUNCTION("-(SUM($C$4:C26))"),12317)</f>
        <v>12317</v>
      </c>
      <c r="E26" s="7">
        <f t="shared" si="0"/>
        <v>44376</v>
      </c>
    </row>
    <row r="27" spans="2:17" ht="14.5">
      <c r="B27" s="5">
        <v>44376</v>
      </c>
      <c r="C27" s="17">
        <v>3830</v>
      </c>
      <c r="D27" s="6">
        <f ca="1">IFERROR(__xludf.DUMMYFUNCTION("-(SUM($C$4:C27))"),8487)</f>
        <v>8487</v>
      </c>
      <c r="E27" s="7">
        <f t="shared" si="0"/>
        <v>44376</v>
      </c>
    </row>
    <row r="28" spans="2:17" ht="14.5">
      <c r="B28" s="5">
        <v>44392</v>
      </c>
      <c r="C28" s="6">
        <v>-499</v>
      </c>
      <c r="D28" s="6">
        <f ca="1">IFERROR(__xludf.DUMMYFUNCTION("-(SUM($C$4:C28))"),8986)</f>
        <v>8986</v>
      </c>
      <c r="E28" s="7">
        <f t="shared" si="0"/>
        <v>44392</v>
      </c>
      <c r="I28" s="15"/>
      <c r="J28" s="6"/>
      <c r="K28" s="6"/>
      <c r="L28" s="16"/>
      <c r="M28" s="6"/>
    </row>
    <row r="29" spans="2:17" ht="14.5">
      <c r="B29" s="5">
        <v>44393</v>
      </c>
      <c r="C29" s="17">
        <v>1009</v>
      </c>
      <c r="D29" s="6">
        <f ca="1">IFERROR(__xludf.DUMMYFUNCTION("-(SUM($C$4:C29))"),7977)</f>
        <v>7977</v>
      </c>
      <c r="E29" s="7">
        <f t="shared" si="0"/>
        <v>44393</v>
      </c>
      <c r="I29" s="15"/>
      <c r="J29" s="6"/>
      <c r="K29" s="6"/>
      <c r="L29" s="16"/>
      <c r="M29" s="6"/>
      <c r="N29" s="6"/>
      <c r="O29" s="6"/>
    </row>
    <row r="30" spans="2:17" ht="14.5">
      <c r="B30" s="5">
        <v>44393</v>
      </c>
      <c r="C30" s="6">
        <v>-1009</v>
      </c>
      <c r="D30" s="6">
        <f ca="1">IFERROR(__xludf.DUMMYFUNCTION("-(SUM($C$4:C30))"),8986)</f>
        <v>8986</v>
      </c>
      <c r="E30" s="7">
        <f t="shared" si="0"/>
        <v>44393</v>
      </c>
      <c r="I30" s="15"/>
      <c r="J30" s="6"/>
      <c r="K30" s="6"/>
      <c r="L30" s="15"/>
      <c r="M30" s="6"/>
      <c r="N30" s="6"/>
      <c r="O30" s="6"/>
    </row>
    <row r="31" spans="2:17" ht="14.5">
      <c r="B31" s="5">
        <v>44393</v>
      </c>
      <c r="C31" s="6">
        <v>-499</v>
      </c>
      <c r="D31" s="6">
        <f ca="1">IFERROR(__xludf.DUMMYFUNCTION("-(SUM($C$4:C31))"),9485)</f>
        <v>9485</v>
      </c>
      <c r="E31" s="7">
        <f t="shared" si="0"/>
        <v>44393</v>
      </c>
      <c r="I31" s="15"/>
      <c r="J31" s="6"/>
      <c r="K31" s="6"/>
      <c r="L31" s="15"/>
      <c r="M31" s="6"/>
      <c r="N31" s="6"/>
      <c r="O31" s="6"/>
    </row>
    <row r="32" spans="2:17" ht="14.5">
      <c r="B32" s="5">
        <v>44393</v>
      </c>
      <c r="C32" s="6">
        <v>-499</v>
      </c>
      <c r="D32" s="6">
        <f ca="1">IFERROR(__xludf.DUMMYFUNCTION("-(SUM($C$4:C32))"),9984)</f>
        <v>9984</v>
      </c>
      <c r="E32" s="7">
        <f t="shared" si="0"/>
        <v>44393</v>
      </c>
      <c r="I32" s="15"/>
      <c r="J32" s="6"/>
      <c r="K32" s="6"/>
      <c r="L32" s="15"/>
      <c r="M32" s="6"/>
      <c r="N32" s="6"/>
      <c r="O32" s="6"/>
    </row>
    <row r="33" spans="2:15" ht="14.5">
      <c r="B33" s="5">
        <v>44393</v>
      </c>
      <c r="C33" s="6">
        <v>-499</v>
      </c>
      <c r="D33" s="6">
        <f ca="1">IFERROR(__xludf.DUMMYFUNCTION("-(SUM($C$4:C33))"),10483)</f>
        <v>10483</v>
      </c>
      <c r="E33" s="7">
        <f t="shared" si="0"/>
        <v>44393</v>
      </c>
      <c r="I33" s="15"/>
      <c r="J33" s="6"/>
      <c r="K33" s="6"/>
      <c r="L33" s="15"/>
      <c r="M33" s="6"/>
      <c r="N33" s="6"/>
      <c r="O33" s="6"/>
    </row>
    <row r="34" spans="2:15" ht="14.5">
      <c r="B34" s="5">
        <v>44420</v>
      </c>
      <c r="C34" s="6">
        <v>-199</v>
      </c>
      <c r="D34" s="6">
        <f ca="1">IFERROR(__xludf.DUMMYFUNCTION("-(SUM($C$4:C34))"),10682)</f>
        <v>10682</v>
      </c>
      <c r="E34" s="7">
        <f t="shared" si="0"/>
        <v>44420</v>
      </c>
      <c r="I34" s="15"/>
      <c r="J34" s="6"/>
      <c r="K34" s="6"/>
      <c r="L34" s="15"/>
      <c r="M34" s="6"/>
      <c r="N34" s="6"/>
      <c r="O34" s="6"/>
    </row>
    <row r="35" spans="2:15" ht="14.5">
      <c r="B35" s="5">
        <v>44424</v>
      </c>
      <c r="C35" s="6">
        <v>-499</v>
      </c>
      <c r="D35" s="6">
        <f ca="1">IFERROR(__xludf.DUMMYFUNCTION("-(SUM($C$4:C35))"),11181)</f>
        <v>11181</v>
      </c>
      <c r="E35" s="7">
        <f t="shared" si="0"/>
        <v>44424</v>
      </c>
      <c r="I35" s="16"/>
      <c r="J35" s="6"/>
      <c r="K35" s="6"/>
      <c r="L35" s="15"/>
      <c r="M35" s="6"/>
      <c r="N35" s="6"/>
      <c r="O35" s="6"/>
    </row>
    <row r="36" spans="2:15" ht="14.5">
      <c r="B36" s="5">
        <v>44424</v>
      </c>
      <c r="C36" s="6">
        <v>-499</v>
      </c>
      <c r="D36" s="6">
        <f ca="1">IFERROR(__xludf.DUMMYFUNCTION("-(SUM($C$4:C36))"),11680)</f>
        <v>11680</v>
      </c>
      <c r="E36" s="7">
        <f t="shared" si="0"/>
        <v>44424</v>
      </c>
      <c r="F36" s="6"/>
      <c r="G36" s="6"/>
      <c r="H36" s="6"/>
      <c r="I36" s="16"/>
      <c r="J36" s="6"/>
      <c r="K36" s="6"/>
      <c r="L36" s="15"/>
      <c r="M36" s="6"/>
      <c r="N36" s="6"/>
      <c r="O36" s="6"/>
    </row>
    <row r="37" spans="2:15" ht="14.5">
      <c r="B37" s="5">
        <v>44424</v>
      </c>
      <c r="C37" s="6">
        <v>-499</v>
      </c>
      <c r="D37" s="6">
        <f ca="1">IFERROR(__xludf.DUMMYFUNCTION("-(SUM($C$4:C37))"),12179)</f>
        <v>12179</v>
      </c>
      <c r="E37" s="7">
        <f t="shared" si="0"/>
        <v>44424</v>
      </c>
      <c r="F37" s="6"/>
      <c r="G37" s="6"/>
      <c r="H37" s="6"/>
      <c r="I37" s="16"/>
      <c r="J37" s="6"/>
      <c r="K37" s="6"/>
      <c r="L37" s="15"/>
      <c r="M37" s="6"/>
      <c r="N37" s="6"/>
      <c r="O37" s="6"/>
    </row>
    <row r="38" spans="2:15" ht="14.5">
      <c r="B38" s="5">
        <v>44454</v>
      </c>
      <c r="C38" s="6">
        <v>-199</v>
      </c>
      <c r="D38" s="6">
        <f ca="1">IFERROR(__xludf.DUMMYFUNCTION("-(SUM($C$4:C38))"),12378)</f>
        <v>12378</v>
      </c>
      <c r="E38" s="7">
        <f t="shared" si="0"/>
        <v>44454</v>
      </c>
      <c r="F38" s="6"/>
      <c r="G38" s="6"/>
      <c r="H38" s="6"/>
      <c r="I38" s="15"/>
      <c r="J38" s="6"/>
      <c r="K38" s="6"/>
      <c r="L38" s="15"/>
      <c r="M38" s="6"/>
      <c r="N38" s="6"/>
      <c r="O38" s="6"/>
    </row>
    <row r="39" spans="2:15" ht="14.5">
      <c r="B39" s="5">
        <v>44454</v>
      </c>
      <c r="C39" s="6">
        <v>-499</v>
      </c>
      <c r="D39" s="6">
        <f ca="1">IFERROR(__xludf.DUMMYFUNCTION("-(SUM($C$4:C39))"),12877)</f>
        <v>12877</v>
      </c>
      <c r="E39" s="7">
        <f t="shared" si="0"/>
        <v>44454</v>
      </c>
      <c r="F39" s="6"/>
      <c r="G39" s="6"/>
      <c r="H39" s="6"/>
      <c r="I39" s="15"/>
      <c r="J39" s="6"/>
      <c r="K39" s="6"/>
      <c r="L39" s="15"/>
      <c r="M39" s="6"/>
      <c r="N39" s="6"/>
      <c r="O39" s="6"/>
    </row>
    <row r="40" spans="2:15" ht="14.5">
      <c r="B40" s="5">
        <v>44454</v>
      </c>
      <c r="C40" s="6">
        <v>-499</v>
      </c>
      <c r="D40" s="6">
        <f ca="1">IFERROR(__xludf.DUMMYFUNCTION("-(SUM($C$4:C40))"),13376)</f>
        <v>13376</v>
      </c>
      <c r="E40" s="7">
        <f t="shared" si="0"/>
        <v>44454</v>
      </c>
      <c r="F40" s="6"/>
    </row>
    <row r="41" spans="2:15" ht="14.5">
      <c r="B41" s="5">
        <v>44454</v>
      </c>
      <c r="C41" s="6">
        <v>-499</v>
      </c>
      <c r="D41" s="6">
        <f ca="1">IFERROR(__xludf.DUMMYFUNCTION("-(SUM($C$4:C41))"),13875)</f>
        <v>13875</v>
      </c>
      <c r="E41" s="7">
        <f t="shared" si="0"/>
        <v>44454</v>
      </c>
      <c r="F41" s="6"/>
    </row>
    <row r="42" spans="2:15" ht="14.5">
      <c r="B42" s="5">
        <v>44487</v>
      </c>
      <c r="C42" s="6">
        <v>-499</v>
      </c>
      <c r="D42" s="6">
        <f ca="1">IFERROR(__xludf.DUMMYFUNCTION("-(SUM($C$4:C42))"),14374)</f>
        <v>14374</v>
      </c>
      <c r="E42" s="7">
        <f t="shared" si="0"/>
        <v>44487</v>
      </c>
      <c r="F42" s="6"/>
    </row>
    <row r="43" spans="2:15" ht="14.5">
      <c r="B43" s="5">
        <v>44487</v>
      </c>
      <c r="C43" s="6">
        <v>-499</v>
      </c>
      <c r="D43" s="6">
        <f ca="1">IFERROR(__xludf.DUMMYFUNCTION("-(SUM($C$4:C43))"),14873)</f>
        <v>14873</v>
      </c>
      <c r="E43" s="7">
        <f t="shared" si="0"/>
        <v>44487</v>
      </c>
      <c r="O43" s="11"/>
    </row>
    <row r="44" spans="2:15" ht="14.5">
      <c r="B44" s="5">
        <v>44487</v>
      </c>
      <c r="C44" s="6">
        <v>-199</v>
      </c>
      <c r="D44" s="6">
        <f ca="1">IFERROR(__xludf.DUMMYFUNCTION("-(SUM($C$4:C44))"),15072)</f>
        <v>15072</v>
      </c>
      <c r="E44" s="7">
        <f t="shared" si="0"/>
        <v>44487</v>
      </c>
      <c r="O44" s="11"/>
    </row>
    <row r="45" spans="2:15" ht="14.5">
      <c r="B45" s="5">
        <v>44487</v>
      </c>
      <c r="C45" s="6">
        <v>-499</v>
      </c>
      <c r="D45" s="6">
        <f ca="1">IFERROR(__xludf.DUMMYFUNCTION("-(SUM($C$4:C45))"),15571)</f>
        <v>15571</v>
      </c>
      <c r="E45" s="7">
        <f t="shared" si="0"/>
        <v>44487</v>
      </c>
    </row>
    <row r="46" spans="2:15" ht="14.5">
      <c r="B46" s="5">
        <v>44515</v>
      </c>
      <c r="C46" s="6">
        <v>-499</v>
      </c>
      <c r="D46" s="6">
        <f ca="1">IFERROR(__xludf.DUMMYFUNCTION("-(SUM($C$4:C46))"),16070)</f>
        <v>16070</v>
      </c>
      <c r="E46" s="7">
        <f t="shared" si="0"/>
        <v>44515</v>
      </c>
    </row>
    <row r="47" spans="2:15" ht="14.5">
      <c r="B47" s="5">
        <v>44515</v>
      </c>
      <c r="C47" s="6">
        <v>-199</v>
      </c>
      <c r="D47" s="6">
        <f ca="1">IFERROR(__xludf.DUMMYFUNCTION("-(SUM($C$4:C47))"),16269)</f>
        <v>16269</v>
      </c>
      <c r="E47" s="7">
        <f t="shared" si="0"/>
        <v>44515</v>
      </c>
    </row>
    <row r="48" spans="2:15" ht="14.5">
      <c r="B48" s="5">
        <v>44515</v>
      </c>
      <c r="C48" s="6">
        <v>-499</v>
      </c>
      <c r="D48" s="6">
        <f ca="1">IFERROR(__xludf.DUMMYFUNCTION("-(SUM($C$4:C48))"),16768)</f>
        <v>16768</v>
      </c>
      <c r="E48" s="7">
        <f t="shared" si="0"/>
        <v>44515</v>
      </c>
      <c r="G48" s="125" t="s">
        <v>13</v>
      </c>
      <c r="H48" s="126"/>
      <c r="I48" s="126"/>
      <c r="J48" s="6"/>
      <c r="K48" s="6"/>
    </row>
    <row r="49" spans="2:14" ht="14.5">
      <c r="B49" s="5">
        <v>44515</v>
      </c>
      <c r="C49" s="6">
        <v>-499</v>
      </c>
      <c r="D49" s="6">
        <f ca="1">IFERROR(__xludf.DUMMYFUNCTION("-(SUM($C$4:C49))"),17267)</f>
        <v>17267</v>
      </c>
      <c r="E49" s="7">
        <f t="shared" si="0"/>
        <v>44515</v>
      </c>
      <c r="G49" s="6" t="s">
        <v>14</v>
      </c>
      <c r="I49" s="15"/>
    </row>
    <row r="50" spans="2:14" ht="14.5">
      <c r="B50" s="5">
        <v>44524</v>
      </c>
      <c r="C50" s="6">
        <v>-7955</v>
      </c>
      <c r="D50" s="6">
        <f ca="1">IFERROR(__xludf.DUMMYFUNCTION("-(SUM($C$4:C50))"),25222)</f>
        <v>25222</v>
      </c>
      <c r="E50" s="7">
        <f t="shared" si="0"/>
        <v>44524</v>
      </c>
      <c r="G50" s="6" t="s">
        <v>15</v>
      </c>
    </row>
    <row r="51" spans="2:14" ht="14.5">
      <c r="B51" s="5">
        <v>44524</v>
      </c>
      <c r="C51" s="17">
        <v>1024</v>
      </c>
      <c r="D51" s="6">
        <f ca="1">IFERROR(__xludf.DUMMYFUNCTION("-(SUM($C$4:C51))"),24198)</f>
        <v>24198</v>
      </c>
      <c r="E51" s="7">
        <f t="shared" si="0"/>
        <v>44524</v>
      </c>
      <c r="G51" s="6" t="s">
        <v>16</v>
      </c>
      <c r="N51" s="6"/>
    </row>
    <row r="52" spans="2:14" ht="14.5">
      <c r="B52" s="5">
        <v>44524</v>
      </c>
      <c r="C52" s="17">
        <v>7955</v>
      </c>
      <c r="D52" s="6">
        <f ca="1">IFERROR(__xludf.DUMMYFUNCTION("-(SUM($C$4:C52))"),16243)</f>
        <v>16243</v>
      </c>
      <c r="E52" s="7">
        <f t="shared" si="0"/>
        <v>44524</v>
      </c>
      <c r="G52" s="6" t="s">
        <v>17</v>
      </c>
      <c r="N52" s="6"/>
    </row>
    <row r="53" spans="2:14" ht="14.5">
      <c r="B53" s="5">
        <v>44526</v>
      </c>
      <c r="C53" s="6">
        <v>-1023</v>
      </c>
      <c r="D53" s="6">
        <f ca="1">IFERROR(__xludf.DUMMYFUNCTION("-(SUM($C$4:C53))"),17266)</f>
        <v>17266</v>
      </c>
      <c r="E53" s="7">
        <f t="shared" si="0"/>
        <v>44526</v>
      </c>
      <c r="G53" s="6" t="s">
        <v>18</v>
      </c>
    </row>
    <row r="54" spans="2:14" ht="14.5">
      <c r="B54" s="5">
        <v>44543</v>
      </c>
      <c r="C54" s="6">
        <v>-499</v>
      </c>
      <c r="D54" s="6">
        <f ca="1">IFERROR(__xludf.DUMMYFUNCTION("-(SUM($C$4:C54))"),17765)</f>
        <v>17765</v>
      </c>
      <c r="E54" s="7">
        <f t="shared" si="0"/>
        <v>44543</v>
      </c>
      <c r="G54" s="6" t="s">
        <v>19</v>
      </c>
    </row>
    <row r="55" spans="2:14" ht="14.5">
      <c r="B55" s="5">
        <v>44545</v>
      </c>
      <c r="C55" s="6">
        <v>-499</v>
      </c>
      <c r="D55" s="6">
        <f ca="1">IFERROR(__xludf.DUMMYFUNCTION("-(SUM($C$4:C55))"),18264)</f>
        <v>18264</v>
      </c>
      <c r="E55" s="7">
        <f t="shared" si="0"/>
        <v>44545</v>
      </c>
      <c r="G55" s="6" t="s">
        <v>20</v>
      </c>
    </row>
    <row r="56" spans="2:14" ht="14.5">
      <c r="B56" s="5">
        <v>44545</v>
      </c>
      <c r="C56" s="6">
        <v>-199</v>
      </c>
      <c r="D56" s="6">
        <f ca="1">IFERROR(__xludf.DUMMYFUNCTION("-(SUM($C$4:C56))"),18463)</f>
        <v>18463</v>
      </c>
      <c r="E56" s="7">
        <f t="shared" si="0"/>
        <v>44545</v>
      </c>
    </row>
    <row r="57" spans="2:14" ht="14.5">
      <c r="B57" s="5">
        <v>44545</v>
      </c>
      <c r="C57" s="6">
        <v>-499</v>
      </c>
      <c r="D57" s="6">
        <f ca="1">IFERROR(__xludf.DUMMYFUNCTION("-(SUM($C$4:C57))"),18962)</f>
        <v>18962</v>
      </c>
      <c r="E57" s="7">
        <f t="shared" si="0"/>
        <v>44545</v>
      </c>
    </row>
    <row r="58" spans="2:14" ht="14.5">
      <c r="B58" s="5">
        <v>44578</v>
      </c>
      <c r="C58" s="6">
        <v>-499</v>
      </c>
      <c r="D58" s="6">
        <f ca="1">IFERROR(__xludf.DUMMYFUNCTION("-(SUM($C$4:C58))"),19461)</f>
        <v>19461</v>
      </c>
      <c r="E58" s="7">
        <f t="shared" si="0"/>
        <v>44578</v>
      </c>
    </row>
    <row r="59" spans="2:14" ht="14.5">
      <c r="B59" s="5">
        <v>44578</v>
      </c>
      <c r="C59" s="6">
        <v>-499</v>
      </c>
      <c r="D59" s="6">
        <f ca="1">IFERROR(__xludf.DUMMYFUNCTION("-(SUM($C$4:C59))"),19960)</f>
        <v>19960</v>
      </c>
      <c r="E59" s="7">
        <f t="shared" si="0"/>
        <v>44578</v>
      </c>
    </row>
    <row r="60" spans="2:14" ht="14.5">
      <c r="B60" s="5">
        <v>44578</v>
      </c>
      <c r="C60" s="6">
        <v>-499</v>
      </c>
      <c r="D60" s="6">
        <f ca="1">IFERROR(__xludf.DUMMYFUNCTION("-(SUM($C$4:C60))"),20459)</f>
        <v>20459</v>
      </c>
      <c r="E60" s="7">
        <f t="shared" si="0"/>
        <v>44578</v>
      </c>
    </row>
    <row r="61" spans="2:14" ht="14.5">
      <c r="B61" s="5">
        <v>44578</v>
      </c>
      <c r="C61" s="6">
        <v>-199</v>
      </c>
      <c r="D61" s="6">
        <f ca="1">IFERROR(__xludf.DUMMYFUNCTION("-(SUM($C$4:C61))"),20658)</f>
        <v>20658</v>
      </c>
      <c r="E61" s="7">
        <f t="shared" si="0"/>
        <v>44578</v>
      </c>
    </row>
    <row r="62" spans="2:14" ht="14.5">
      <c r="B62" s="5">
        <v>44607</v>
      </c>
      <c r="C62" s="6">
        <v>-499</v>
      </c>
      <c r="D62" s="6">
        <f ca="1">IFERROR(__xludf.DUMMYFUNCTION("-(SUM($C$4:C62))"),21157)</f>
        <v>21157</v>
      </c>
      <c r="E62" s="7">
        <f t="shared" si="0"/>
        <v>44607</v>
      </c>
    </row>
    <row r="63" spans="2:14" ht="14.5">
      <c r="B63" s="5">
        <v>44607</v>
      </c>
      <c r="C63" s="6">
        <v>-499</v>
      </c>
      <c r="D63" s="6">
        <f ca="1">IFERROR(__xludf.DUMMYFUNCTION("-(SUM($C$4:C63))"),21656)</f>
        <v>21656</v>
      </c>
      <c r="E63" s="7">
        <f t="shared" si="0"/>
        <v>44607</v>
      </c>
    </row>
    <row r="64" spans="2:14" ht="14.5">
      <c r="B64" s="5">
        <v>44607</v>
      </c>
      <c r="C64" s="6">
        <v>-199</v>
      </c>
      <c r="D64" s="6">
        <f ca="1">IFERROR(__xludf.DUMMYFUNCTION("-(SUM($C$4:C64))"),21855)</f>
        <v>21855</v>
      </c>
      <c r="E64" s="7">
        <f t="shared" si="0"/>
        <v>44607</v>
      </c>
    </row>
    <row r="65" spans="2:5" ht="14.5">
      <c r="B65" s="5">
        <v>44607</v>
      </c>
      <c r="C65" s="6">
        <v>-499</v>
      </c>
      <c r="D65" s="6">
        <f ca="1">IFERROR(__xludf.DUMMYFUNCTION("-(SUM($C$4:C65))"),22354)</f>
        <v>22354</v>
      </c>
      <c r="E65" s="7">
        <f t="shared" si="0"/>
        <v>44607</v>
      </c>
    </row>
    <row r="66" spans="2:5" ht="14.5">
      <c r="B66" s="5">
        <v>44635</v>
      </c>
      <c r="C66" s="6">
        <v>-499</v>
      </c>
      <c r="D66" s="6">
        <f ca="1">IFERROR(__xludf.DUMMYFUNCTION("-(SUM($C$4:C66))"),22853)</f>
        <v>22853</v>
      </c>
      <c r="E66" s="7">
        <f t="shared" si="0"/>
        <v>44635</v>
      </c>
    </row>
    <row r="67" spans="2:5" ht="14.5">
      <c r="B67" s="5">
        <v>44635</v>
      </c>
      <c r="C67" s="6">
        <v>-199</v>
      </c>
      <c r="D67" s="6">
        <f ca="1">IFERROR(__xludf.DUMMYFUNCTION("-(SUM($C$4:C67))"),23052)</f>
        <v>23052</v>
      </c>
      <c r="E67" s="7">
        <f t="shared" si="0"/>
        <v>44635</v>
      </c>
    </row>
    <row r="68" spans="2:5" ht="14.5">
      <c r="B68" s="5">
        <v>44635</v>
      </c>
      <c r="C68" s="6">
        <v>-499</v>
      </c>
      <c r="D68" s="6">
        <f ca="1">IFERROR(__xludf.DUMMYFUNCTION("-(SUM($C$4:C68))"),23551)</f>
        <v>23551</v>
      </c>
      <c r="E68" s="7">
        <f t="shared" si="0"/>
        <v>44635</v>
      </c>
    </row>
    <row r="69" spans="2:5" ht="14.5">
      <c r="B69" s="5">
        <v>44635</v>
      </c>
      <c r="C69" s="6">
        <v>-499</v>
      </c>
      <c r="D69" s="6">
        <f ca="1">IFERROR(__xludf.DUMMYFUNCTION("-(SUM($C$4:C69))"),24050)</f>
        <v>24050</v>
      </c>
      <c r="E69" s="7">
        <f t="shared" si="0"/>
        <v>44635</v>
      </c>
    </row>
    <row r="70" spans="2:5" ht="14.5">
      <c r="B70" s="5">
        <v>44669</v>
      </c>
      <c r="C70" s="6">
        <v>-199</v>
      </c>
      <c r="D70" s="6">
        <f ca="1">IFERROR(__xludf.DUMMYFUNCTION("-(SUM($C$4:C70))"),24249)</f>
        <v>24249</v>
      </c>
      <c r="E70" s="7">
        <f t="shared" si="0"/>
        <v>44669</v>
      </c>
    </row>
    <row r="71" spans="2:5" ht="14.5">
      <c r="B71" s="5">
        <v>44669</v>
      </c>
      <c r="C71" s="6">
        <v>-499</v>
      </c>
      <c r="D71" s="6">
        <f ca="1">IFERROR(__xludf.DUMMYFUNCTION("-(SUM($C$4:C71))"),24748)</f>
        <v>24748</v>
      </c>
      <c r="E71" s="7">
        <f t="shared" si="0"/>
        <v>44669</v>
      </c>
    </row>
    <row r="72" spans="2:5" ht="14.5">
      <c r="B72" s="5">
        <v>44669</v>
      </c>
      <c r="C72" s="6">
        <v>-499</v>
      </c>
      <c r="D72" s="6">
        <f ca="1">IFERROR(__xludf.DUMMYFUNCTION("-(SUM($C$4:C72))"),25247)</f>
        <v>25247</v>
      </c>
      <c r="E72" s="7">
        <f t="shared" si="0"/>
        <v>44669</v>
      </c>
    </row>
    <row r="73" spans="2:5" ht="14.5">
      <c r="B73" s="5">
        <v>44697</v>
      </c>
      <c r="C73" s="6">
        <v>-499</v>
      </c>
      <c r="D73" s="6">
        <f ca="1">IFERROR(__xludf.DUMMYFUNCTION("-(SUM($C$4:C73))"),25746)</f>
        <v>25746</v>
      </c>
      <c r="E73" s="7">
        <f t="shared" si="0"/>
        <v>44697</v>
      </c>
    </row>
    <row r="74" spans="2:5" ht="14.5">
      <c r="B74" s="5">
        <v>44697</v>
      </c>
      <c r="C74" s="6">
        <v>-199</v>
      </c>
      <c r="D74" s="6">
        <f ca="1">IFERROR(__xludf.DUMMYFUNCTION("-(SUM($C$4:C74))"),25945)</f>
        <v>25945</v>
      </c>
      <c r="E74" s="7">
        <f t="shared" si="0"/>
        <v>44697</v>
      </c>
    </row>
    <row r="75" spans="2:5" ht="14.5">
      <c r="B75" s="5">
        <v>44697</v>
      </c>
      <c r="C75" s="6">
        <v>-499</v>
      </c>
      <c r="D75" s="6">
        <f ca="1">IFERROR(__xludf.DUMMYFUNCTION("-(SUM($C$4:C75))"),26444)</f>
        <v>26444</v>
      </c>
      <c r="E75" s="7">
        <f t="shared" si="0"/>
        <v>44697</v>
      </c>
    </row>
    <row r="76" spans="2:5" ht="14.5">
      <c r="B76" s="5">
        <v>44727</v>
      </c>
      <c r="C76" s="6">
        <v>-199</v>
      </c>
      <c r="D76" s="6">
        <f ca="1">IFERROR(__xludf.DUMMYFUNCTION("-(SUM($C$4:C76))"),26643)</f>
        <v>26643</v>
      </c>
      <c r="E76" s="7">
        <f t="shared" si="0"/>
        <v>44727</v>
      </c>
    </row>
    <row r="77" spans="2:5" ht="14.5">
      <c r="B77" s="5">
        <v>44727</v>
      </c>
      <c r="C77" s="6">
        <v>-499</v>
      </c>
      <c r="D77" s="6">
        <f ca="1">IFERROR(__xludf.DUMMYFUNCTION("-(SUM($C$4:C77))"),27142)</f>
        <v>27142</v>
      </c>
      <c r="E77" s="7">
        <f t="shared" si="0"/>
        <v>44727</v>
      </c>
    </row>
    <row r="78" spans="2:5" ht="14.5">
      <c r="B78" s="5">
        <v>44727</v>
      </c>
      <c r="C78" s="6">
        <v>-499</v>
      </c>
      <c r="D78" s="6">
        <f ca="1">IFERROR(__xludf.DUMMYFUNCTION("-(SUM($C$4:C78))"),27641)</f>
        <v>27641</v>
      </c>
      <c r="E78" s="7">
        <f t="shared" si="0"/>
        <v>44727</v>
      </c>
    </row>
    <row r="79" spans="2:5" ht="14.5">
      <c r="B79" s="5">
        <v>44741</v>
      </c>
      <c r="C79" s="6">
        <v>-742</v>
      </c>
      <c r="D79" s="6">
        <f ca="1">IFERROR(__xludf.DUMMYFUNCTION("-(SUM($C$4:C79))"),28383)</f>
        <v>28383</v>
      </c>
      <c r="E79" s="7">
        <f t="shared" si="0"/>
        <v>44741</v>
      </c>
    </row>
    <row r="80" spans="2:5" ht="14.5">
      <c r="B80" s="18">
        <v>44741</v>
      </c>
      <c r="C80" s="19">
        <v>-721.6</v>
      </c>
      <c r="D80" s="6">
        <f ca="1">IFERROR(__xludf.DUMMYFUNCTION("-(SUM($C$4:C80))"),29104.6)</f>
        <v>29104.6</v>
      </c>
      <c r="E80" s="15">
        <f t="shared" si="0"/>
        <v>44741</v>
      </c>
    </row>
    <row r="81" spans="2:5" ht="14.5">
      <c r="B81" s="5">
        <v>44750</v>
      </c>
      <c r="C81" s="6">
        <v>-999</v>
      </c>
      <c r="D81" s="6">
        <f ca="1">IFERROR(__xludf.DUMMYFUNCTION("-(SUM($C$4:C81))"),30103.6)</f>
        <v>30103.599999999999</v>
      </c>
      <c r="E81" s="7">
        <f t="shared" si="0"/>
        <v>44750</v>
      </c>
    </row>
    <row r="82" spans="2:5" ht="14.5">
      <c r="B82" s="18">
        <v>44750</v>
      </c>
      <c r="C82" s="19">
        <v>-469.9</v>
      </c>
      <c r="D82" s="6">
        <f ca="1">IFERROR(__xludf.DUMMYFUNCTION("-(SUM($C$4:C82))"),30573.5)</f>
        <v>30573.5</v>
      </c>
      <c r="E82" s="15">
        <f t="shared" si="0"/>
        <v>44750</v>
      </c>
    </row>
    <row r="83" spans="2:5" ht="14.5">
      <c r="B83" s="5">
        <v>44760</v>
      </c>
      <c r="C83" s="6">
        <v>-199</v>
      </c>
      <c r="D83" s="6">
        <f ca="1">IFERROR(__xludf.DUMMYFUNCTION("-(SUM($C$4:C83))"),30772.5)</f>
        <v>30772.5</v>
      </c>
      <c r="E83" s="7">
        <f t="shared" si="0"/>
        <v>44760</v>
      </c>
    </row>
    <row r="84" spans="2:5" ht="14.5">
      <c r="B84" s="5">
        <v>44760</v>
      </c>
      <c r="C84" s="6">
        <v>-499</v>
      </c>
      <c r="D84" s="6">
        <f ca="1">IFERROR(__xludf.DUMMYFUNCTION("-(SUM($C$4:C84))"),31271.5)</f>
        <v>31271.5</v>
      </c>
      <c r="E84" s="7">
        <f t="shared" si="0"/>
        <v>44760</v>
      </c>
    </row>
    <row r="85" spans="2:5" ht="14.5">
      <c r="B85" s="5">
        <v>44760</v>
      </c>
      <c r="C85" s="6">
        <v>-499</v>
      </c>
      <c r="D85" s="6">
        <f ca="1">IFERROR(__xludf.DUMMYFUNCTION("-(SUM($C$4:C85))"),31770.5)</f>
        <v>31770.5</v>
      </c>
      <c r="E85" s="7">
        <f t="shared" si="0"/>
        <v>44760</v>
      </c>
    </row>
    <row r="86" spans="2:5" ht="14.5">
      <c r="B86" s="18">
        <v>44760</v>
      </c>
      <c r="C86" s="19">
        <v>-566.28</v>
      </c>
      <c r="D86" s="6">
        <f ca="1">IFERROR(__xludf.DUMMYFUNCTION("-(SUM($C$4:C86))"),32336.78)</f>
        <v>32336.78</v>
      </c>
      <c r="E86" s="15">
        <f t="shared" si="0"/>
        <v>44760</v>
      </c>
    </row>
    <row r="87" spans="2:5" ht="14.5">
      <c r="B87" s="5">
        <v>44789</v>
      </c>
      <c r="C87" s="6">
        <v>-499</v>
      </c>
      <c r="D87" s="6">
        <f ca="1">IFERROR(__xludf.DUMMYFUNCTION("-(SUM($C$4:C87))"),32835.78)</f>
        <v>32835.78</v>
      </c>
      <c r="E87" s="7">
        <f t="shared" si="0"/>
        <v>44789</v>
      </c>
    </row>
    <row r="88" spans="2:5" ht="14.5">
      <c r="B88" s="5">
        <v>44789</v>
      </c>
      <c r="C88" s="6">
        <v>-199</v>
      </c>
      <c r="D88" s="6">
        <f ca="1">IFERROR(__xludf.DUMMYFUNCTION("-(SUM($C$4:C88))"),33034.78)</f>
        <v>33034.78</v>
      </c>
      <c r="E88" s="7">
        <f t="shared" si="0"/>
        <v>44789</v>
      </c>
    </row>
    <row r="89" spans="2:5" ht="14.5">
      <c r="B89" s="5">
        <v>44790</v>
      </c>
      <c r="C89" s="6">
        <v>-499</v>
      </c>
      <c r="D89" s="6">
        <f ca="1">IFERROR(__xludf.DUMMYFUNCTION("-(SUM($C$4:C89))"),33533.78)</f>
        <v>33533.78</v>
      </c>
      <c r="E89" s="7">
        <f t="shared" si="0"/>
        <v>44790</v>
      </c>
    </row>
    <row r="90" spans="2:5" ht="14.5">
      <c r="B90" s="18">
        <v>44792</v>
      </c>
      <c r="C90" s="19">
        <v>-523.1</v>
      </c>
      <c r="D90" s="6">
        <f ca="1">IFERROR(__xludf.DUMMYFUNCTION("-(SUM($C$4:C90))"),34056.88)</f>
        <v>34056.879999999997</v>
      </c>
      <c r="E90" s="15">
        <f t="shared" si="0"/>
        <v>44792</v>
      </c>
    </row>
    <row r="91" spans="2:5" ht="14.5">
      <c r="B91" s="5">
        <v>44816</v>
      </c>
      <c r="C91" s="19">
        <v>-491.65</v>
      </c>
      <c r="D91" s="6">
        <f ca="1">IFERROR(__xludf.DUMMYFUNCTION("-(SUM($C$4:C91))"),34548.53)</f>
        <v>34548.53</v>
      </c>
      <c r="E91" s="7">
        <f t="shared" si="0"/>
        <v>44816</v>
      </c>
    </row>
    <row r="92" spans="2:5" ht="14.5">
      <c r="B92" s="5">
        <v>44819</v>
      </c>
      <c r="C92" s="6">
        <v>-499</v>
      </c>
      <c r="D92" s="6">
        <f ca="1">IFERROR(__xludf.DUMMYFUNCTION("-(SUM($C$4:C92))"),35047.53)</f>
        <v>35047.53</v>
      </c>
      <c r="E92" s="7">
        <f t="shared" si="0"/>
        <v>44819</v>
      </c>
    </row>
    <row r="93" spans="2:5" ht="14.5">
      <c r="B93" s="5">
        <v>44819</v>
      </c>
      <c r="C93" s="6">
        <v>-199</v>
      </c>
      <c r="D93" s="6">
        <f ca="1">IFERROR(__xludf.DUMMYFUNCTION("-(SUM($C$4:C93))"),35246.53)</f>
        <v>35246.53</v>
      </c>
      <c r="E93" s="7">
        <f t="shared" si="0"/>
        <v>44819</v>
      </c>
    </row>
    <row r="94" spans="2:5" ht="14.5">
      <c r="B94" s="5">
        <v>44819</v>
      </c>
      <c r="C94" s="6">
        <v>-499</v>
      </c>
      <c r="D94" s="6">
        <f ca="1">IFERROR(__xludf.DUMMYFUNCTION("-(SUM($C$4:C94))"),35745.53)</f>
        <v>35745.53</v>
      </c>
      <c r="E94" s="7">
        <f t="shared" si="0"/>
        <v>44819</v>
      </c>
    </row>
    <row r="95" spans="2:5" ht="14.5">
      <c r="B95" s="5">
        <v>44844</v>
      </c>
      <c r="C95" s="19">
        <v>-457.35</v>
      </c>
      <c r="D95" s="6">
        <f ca="1">IFERROR(__xludf.DUMMYFUNCTION("-(SUM($C$4:C95))"),36202.88)</f>
        <v>36202.879999999997</v>
      </c>
      <c r="E95" s="7">
        <f t="shared" si="0"/>
        <v>44844</v>
      </c>
    </row>
    <row r="96" spans="2:5" ht="14.5">
      <c r="B96" s="5">
        <v>44851</v>
      </c>
      <c r="C96" s="6">
        <v>-499</v>
      </c>
      <c r="D96" s="6">
        <f ca="1">IFERROR(__xludf.DUMMYFUNCTION("-(SUM($C$4:C96))"),36701.88)</f>
        <v>36701.879999999997</v>
      </c>
      <c r="E96" s="7">
        <f t="shared" si="0"/>
        <v>44851</v>
      </c>
    </row>
    <row r="97" spans="2:5" ht="14.5">
      <c r="B97" s="5">
        <v>44851</v>
      </c>
      <c r="C97" s="6">
        <v>-199</v>
      </c>
      <c r="D97" s="6">
        <f ca="1">IFERROR(__xludf.DUMMYFUNCTION("-(SUM($C$4:C97))"),36900.88)</f>
        <v>36900.879999999997</v>
      </c>
      <c r="E97" s="7">
        <f t="shared" si="0"/>
        <v>44851</v>
      </c>
    </row>
    <row r="98" spans="2:5" ht="14.5">
      <c r="B98" s="5">
        <v>44851</v>
      </c>
      <c r="C98" s="6">
        <v>-499</v>
      </c>
      <c r="D98" s="6">
        <f ca="1">IFERROR(__xludf.DUMMYFUNCTION("-(SUM($C$4:C98))"),37399.88)</f>
        <v>37399.879999999997</v>
      </c>
      <c r="E98" s="7">
        <f t="shared" si="0"/>
        <v>44851</v>
      </c>
    </row>
    <row r="99" spans="2:5" ht="14.5">
      <c r="B99" s="5">
        <v>44880</v>
      </c>
      <c r="C99" s="6">
        <v>-499</v>
      </c>
      <c r="D99" s="6">
        <f ca="1">IFERROR(__xludf.DUMMYFUNCTION("-(SUM($C$4:C99))"),37898.88)</f>
        <v>37898.879999999997</v>
      </c>
      <c r="E99" s="7">
        <f t="shared" si="0"/>
        <v>44880</v>
      </c>
    </row>
    <row r="100" spans="2:5" ht="14.5">
      <c r="B100" s="5">
        <v>44880</v>
      </c>
      <c r="C100" s="6">
        <v>-499</v>
      </c>
      <c r="D100" s="6">
        <f ca="1">IFERROR(__xludf.DUMMYFUNCTION("-(SUM($C$4:C100))"),38397.88)</f>
        <v>38397.879999999997</v>
      </c>
      <c r="E100" s="7">
        <f t="shared" si="0"/>
        <v>44880</v>
      </c>
    </row>
    <row r="101" spans="2:5" ht="14.5">
      <c r="B101" s="5">
        <v>44880</v>
      </c>
      <c r="C101" s="6">
        <v>-199</v>
      </c>
      <c r="D101" s="6">
        <f ca="1">IFERROR(__xludf.DUMMYFUNCTION("-(SUM($C$4:C101))"),38596.88)</f>
        <v>38596.879999999997</v>
      </c>
      <c r="E101" s="7">
        <f t="shared" si="0"/>
        <v>44880</v>
      </c>
    </row>
    <row r="102" spans="2:5" ht="14.5">
      <c r="B102" s="5">
        <v>44882</v>
      </c>
      <c r="C102" s="19">
        <v>-465.05</v>
      </c>
      <c r="D102" s="6">
        <f ca="1">IFERROR(__xludf.DUMMYFUNCTION("-(SUM($C$4:C102))"),39061.93)</f>
        <v>39061.93</v>
      </c>
      <c r="E102" s="7">
        <f t="shared" si="0"/>
        <v>44882</v>
      </c>
    </row>
    <row r="103" spans="2:5" ht="14.5">
      <c r="B103" s="5">
        <v>44910</v>
      </c>
      <c r="C103" s="6">
        <v>-499</v>
      </c>
      <c r="D103" s="6">
        <f ca="1">IFERROR(__xludf.DUMMYFUNCTION("-(SUM($C$4:C103))"),39560.93)</f>
        <v>39560.93</v>
      </c>
      <c r="E103" s="7">
        <f t="shared" si="0"/>
        <v>44910</v>
      </c>
    </row>
    <row r="104" spans="2:5" ht="14.5">
      <c r="B104" s="5">
        <v>44910</v>
      </c>
      <c r="C104" s="6">
        <v>-199</v>
      </c>
      <c r="D104" s="6">
        <f ca="1">IFERROR(__xludf.DUMMYFUNCTION("-(SUM($C$4:C104))"),39759.93)</f>
        <v>39759.93</v>
      </c>
      <c r="E104" s="7">
        <f t="shared" si="0"/>
        <v>44910</v>
      </c>
    </row>
    <row r="105" spans="2:5" ht="14.5">
      <c r="B105" s="5">
        <v>44910</v>
      </c>
      <c r="C105" s="6">
        <v>-499</v>
      </c>
      <c r="D105" s="6">
        <f ca="1">IFERROR(__xludf.DUMMYFUNCTION("-(SUM($C$4:C105))"),40258.93)</f>
        <v>40258.93</v>
      </c>
      <c r="E105" s="7">
        <f t="shared" si="0"/>
        <v>44910</v>
      </c>
    </row>
    <row r="106" spans="2:5" ht="14.5">
      <c r="B106" s="5">
        <v>44914</v>
      </c>
      <c r="C106" s="19">
        <v>-556.91999999999996</v>
      </c>
      <c r="D106" s="6">
        <f ca="1">IFERROR(__xludf.DUMMYFUNCTION("-(SUM($C$4:C106))"),40815.85)</f>
        <v>40815.85</v>
      </c>
      <c r="E106" s="7">
        <f t="shared" si="0"/>
        <v>44914</v>
      </c>
    </row>
    <row r="107" spans="2:5" ht="14.5">
      <c r="B107" s="5">
        <v>44942</v>
      </c>
      <c r="C107" s="6">
        <v>-499</v>
      </c>
      <c r="D107" s="6">
        <f ca="1">IFERROR(__xludf.DUMMYFUNCTION("-(SUM($C$4:C107))"),41314.85)</f>
        <v>41314.85</v>
      </c>
      <c r="E107" s="7">
        <f t="shared" si="0"/>
        <v>44942</v>
      </c>
    </row>
    <row r="108" spans="2:5" ht="14.5">
      <c r="B108" s="5">
        <v>44942</v>
      </c>
      <c r="C108" s="6">
        <v>-499</v>
      </c>
      <c r="D108" s="6">
        <f ca="1">IFERROR(__xludf.DUMMYFUNCTION("-(SUM($C$4:C108))"),41813.85)</f>
        <v>41813.85</v>
      </c>
      <c r="E108" s="7">
        <f t="shared" si="0"/>
        <v>44942</v>
      </c>
    </row>
    <row r="109" spans="2:5" ht="14.5">
      <c r="B109" s="5">
        <v>44942</v>
      </c>
      <c r="C109" s="6">
        <v>-499</v>
      </c>
      <c r="D109" s="6">
        <f ca="1">IFERROR(__xludf.DUMMYFUNCTION("-(SUM($C$4:C109))"),42312.85)</f>
        <v>42312.85</v>
      </c>
      <c r="E109" s="7">
        <f t="shared" si="0"/>
        <v>44942</v>
      </c>
    </row>
    <row r="110" spans="2:5" ht="14.5">
      <c r="B110" s="5">
        <v>44942</v>
      </c>
      <c r="C110" s="6">
        <v>-199</v>
      </c>
      <c r="D110" s="6">
        <f ca="1">IFERROR(__xludf.DUMMYFUNCTION("-(SUM($C$4:C110))"),42511.85)</f>
        <v>42511.85</v>
      </c>
      <c r="E110" s="7">
        <f t="shared" si="0"/>
        <v>44942</v>
      </c>
    </row>
    <row r="111" spans="2:5" ht="14.5">
      <c r="B111" s="5">
        <v>44960</v>
      </c>
      <c r="C111" s="6">
        <v>-999</v>
      </c>
      <c r="D111" s="6">
        <f ca="1">IFERROR(__xludf.DUMMYFUNCTION("-(SUM($C$4:C111))"),43510.85)</f>
        <v>43510.85</v>
      </c>
      <c r="E111" s="7">
        <f t="shared" si="0"/>
        <v>44960</v>
      </c>
    </row>
    <row r="112" spans="2:5" ht="14.5">
      <c r="B112" s="5">
        <v>44960</v>
      </c>
      <c r="C112" s="6">
        <v>-100</v>
      </c>
      <c r="D112" s="6">
        <f ca="1">IFERROR(__xludf.DUMMYFUNCTION("-(SUM($C$4:C112))"),43610.85)</f>
        <v>43610.85</v>
      </c>
      <c r="E112" s="7">
        <f t="shared" si="0"/>
        <v>44960</v>
      </c>
    </row>
    <row r="113" spans="2:5" ht="14.5">
      <c r="B113" s="5">
        <v>44960</v>
      </c>
      <c r="C113" s="19">
        <v>-999.6</v>
      </c>
      <c r="D113" s="6">
        <f ca="1">IFERROR(__xludf.DUMMYFUNCTION("-(SUM($C$4:C113))"),44610.45)</f>
        <v>44610.45</v>
      </c>
      <c r="E113" s="7">
        <f t="shared" si="0"/>
        <v>44960</v>
      </c>
    </row>
    <row r="114" spans="2:5" ht="14.5">
      <c r="B114" s="5">
        <v>44965</v>
      </c>
      <c r="C114" s="19">
        <v>-918.09</v>
      </c>
      <c r="D114" s="6">
        <f ca="1">IFERROR(__xludf.DUMMYFUNCTION("-(SUM($C$4:C114))"),45528.5399999999)</f>
        <v>45528.539999999899</v>
      </c>
      <c r="E114" s="7">
        <f t="shared" si="0"/>
        <v>44965</v>
      </c>
    </row>
    <row r="115" spans="2:5" ht="14.5">
      <c r="B115" s="5">
        <v>44972</v>
      </c>
      <c r="C115" s="6">
        <v>-499</v>
      </c>
      <c r="D115" s="6">
        <f ca="1">IFERROR(__xludf.DUMMYFUNCTION("-(SUM($C$4:C115))"),46027.5399999999)</f>
        <v>46027.539999999899</v>
      </c>
      <c r="E115" s="7">
        <f t="shared" si="0"/>
        <v>44972</v>
      </c>
    </row>
    <row r="116" spans="2:5" ht="14.5">
      <c r="B116" s="5">
        <v>44972</v>
      </c>
      <c r="C116" s="6">
        <v>-499</v>
      </c>
      <c r="D116" s="6">
        <f ca="1">IFERROR(__xludf.DUMMYFUNCTION("-(SUM($C$4:C116))"),46526.5399999999)</f>
        <v>46526.539999999899</v>
      </c>
      <c r="E116" s="7">
        <f t="shared" si="0"/>
        <v>44972</v>
      </c>
    </row>
    <row r="117" spans="2:5" ht="14.5">
      <c r="B117" s="5">
        <v>44972</v>
      </c>
      <c r="C117" s="6">
        <v>-199</v>
      </c>
      <c r="D117" s="6">
        <f ca="1">IFERROR(__xludf.DUMMYFUNCTION("-(SUM($C$4:C117))"),46725.5399999999)</f>
        <v>46725.539999999899</v>
      </c>
      <c r="E117" s="7">
        <f t="shared" si="0"/>
        <v>44972</v>
      </c>
    </row>
    <row r="118" spans="2:5" ht="14.5">
      <c r="B118" s="5">
        <v>44972</v>
      </c>
      <c r="C118" s="6">
        <v>-499</v>
      </c>
      <c r="D118" s="6">
        <f ca="1">IFERROR(__xludf.DUMMYFUNCTION("-(SUM($C$4:C118))"),47224.5399999999)</f>
        <v>47224.539999999899</v>
      </c>
      <c r="E118" s="7">
        <f t="shared" si="0"/>
        <v>44972</v>
      </c>
    </row>
    <row r="119" spans="2:5" ht="14.5">
      <c r="B119" s="5">
        <v>44977</v>
      </c>
      <c r="C119" s="6">
        <v>-199</v>
      </c>
      <c r="D119" s="6">
        <f ca="1">IFERROR(__xludf.DUMMYFUNCTION("-(SUM($C$4:C119))"),47423.5399999999)</f>
        <v>47423.539999999899</v>
      </c>
      <c r="E119" s="7">
        <f t="shared" si="0"/>
        <v>44977</v>
      </c>
    </row>
    <row r="120" spans="2:5" ht="14.5">
      <c r="B120" s="5">
        <v>45000</v>
      </c>
      <c r="C120" s="6">
        <v>-199</v>
      </c>
      <c r="D120" s="6">
        <f ca="1">IFERROR(__xludf.DUMMYFUNCTION("-(SUM($C$4:C120))"),47622.5399999999)</f>
        <v>47622.539999999899</v>
      </c>
      <c r="E120" s="7">
        <f t="shared" si="0"/>
        <v>45000</v>
      </c>
    </row>
    <row r="121" spans="2:5" ht="14.5">
      <c r="B121" s="5">
        <v>45000</v>
      </c>
      <c r="C121" s="6">
        <v>-499</v>
      </c>
      <c r="D121" s="6">
        <f ca="1">IFERROR(__xludf.DUMMYFUNCTION("-(SUM($C$4:C121))"),48121.5399999999)</f>
        <v>48121.539999999899</v>
      </c>
      <c r="E121" s="7">
        <f t="shared" si="0"/>
        <v>45000</v>
      </c>
    </row>
    <row r="122" spans="2:5" ht="14.5">
      <c r="B122" s="5">
        <v>45000</v>
      </c>
      <c r="C122" s="6">
        <v>-100</v>
      </c>
      <c r="D122" s="6">
        <f ca="1">IFERROR(__xludf.DUMMYFUNCTION("-(SUM($C$4:C122))"),48221.5399999999)</f>
        <v>48221.539999999899</v>
      </c>
      <c r="E122" s="7">
        <f t="shared" si="0"/>
        <v>45000</v>
      </c>
    </row>
    <row r="123" spans="2:5" ht="14.5">
      <c r="B123" s="5">
        <v>45000</v>
      </c>
      <c r="C123" s="6">
        <v>-499</v>
      </c>
      <c r="D123" s="6">
        <f ca="1">IFERROR(__xludf.DUMMYFUNCTION("-(SUM($C$4:C123))"),48720.5399999999)</f>
        <v>48720.539999999899</v>
      </c>
      <c r="E123" s="7">
        <f t="shared" si="0"/>
        <v>45000</v>
      </c>
    </row>
    <row r="124" spans="2:5" ht="14.5">
      <c r="B124" s="5">
        <v>45000</v>
      </c>
      <c r="C124" s="6">
        <v>-499</v>
      </c>
      <c r="D124" s="6">
        <f ca="1">IFERROR(__xludf.DUMMYFUNCTION("-(SUM($C$4:C124))"),49219.5399999999)</f>
        <v>49219.539999999899</v>
      </c>
      <c r="E124" s="7">
        <f t="shared" si="0"/>
        <v>45000</v>
      </c>
    </row>
    <row r="125" spans="2:5" ht="14.5">
      <c r="B125" s="5">
        <v>45033</v>
      </c>
      <c r="C125" s="6">
        <v>-199</v>
      </c>
      <c r="D125" s="6">
        <f ca="1">IFERROR(__xludf.DUMMYFUNCTION("-(SUM($C$4:C125))"),49418.5399999999)</f>
        <v>49418.539999999899</v>
      </c>
      <c r="E125" s="7">
        <f t="shared" si="0"/>
        <v>45033</v>
      </c>
    </row>
    <row r="126" spans="2:5" ht="14.5">
      <c r="B126" s="5">
        <v>45033</v>
      </c>
      <c r="C126" s="6">
        <v>-499</v>
      </c>
      <c r="D126" s="6">
        <f ca="1">IFERROR(__xludf.DUMMYFUNCTION("-(SUM($C$4:C126))"),49917.5399999999)</f>
        <v>49917.539999999899</v>
      </c>
      <c r="E126" s="7">
        <f t="shared" si="0"/>
        <v>45033</v>
      </c>
    </row>
    <row r="127" spans="2:5" ht="14.5">
      <c r="B127" s="5">
        <v>45033</v>
      </c>
      <c r="C127" s="6">
        <v>-499</v>
      </c>
      <c r="D127" s="6">
        <f ca="1">IFERROR(__xludf.DUMMYFUNCTION("-(SUM($C$4:C127))"),50416.5399999999)</f>
        <v>50416.539999999899</v>
      </c>
      <c r="E127" s="7">
        <f t="shared" si="0"/>
        <v>45033</v>
      </c>
    </row>
    <row r="128" spans="2:5" ht="14.5">
      <c r="B128" s="5">
        <v>45033</v>
      </c>
      <c r="C128" s="6">
        <v>-100</v>
      </c>
      <c r="D128" s="6">
        <f ca="1">IFERROR(__xludf.DUMMYFUNCTION("-(SUM($C$4:C128))"),50516.5399999999)</f>
        <v>50516.539999999899</v>
      </c>
      <c r="E128" s="7">
        <f t="shared" si="0"/>
        <v>45033</v>
      </c>
    </row>
    <row r="129" spans="2:5" ht="14.5">
      <c r="B129" s="5">
        <v>45033</v>
      </c>
      <c r="C129" s="6">
        <v>-499</v>
      </c>
      <c r="D129" s="6">
        <f ca="1">IFERROR(__xludf.DUMMYFUNCTION("-(SUM($C$4:C129))"),51015.5399999999)</f>
        <v>51015.539999999899</v>
      </c>
      <c r="E129" s="7">
        <f t="shared" si="0"/>
        <v>45033</v>
      </c>
    </row>
    <row r="130" spans="2:5" ht="14.5">
      <c r="B130" s="5">
        <v>45033</v>
      </c>
      <c r="C130" s="6">
        <v>-199</v>
      </c>
      <c r="D130" s="6">
        <f ca="1">IFERROR(__xludf.DUMMYFUNCTION("-(SUM($C$4:C130))"),51214.5399999999)</f>
        <v>51214.539999999899</v>
      </c>
      <c r="E130" s="7">
        <f t="shared" si="0"/>
        <v>45033</v>
      </c>
    </row>
    <row r="131" spans="2:5" ht="14.5">
      <c r="B131" s="5">
        <v>45061</v>
      </c>
      <c r="C131" s="6">
        <v>-100</v>
      </c>
      <c r="D131" s="6">
        <f ca="1">IFERROR(__xludf.DUMMYFUNCTION("-(SUM($C$4:C131))"),51314.5399999999)</f>
        <v>51314.539999999899</v>
      </c>
      <c r="E131" s="7">
        <f t="shared" si="0"/>
        <v>45061</v>
      </c>
    </row>
    <row r="132" spans="2:5" ht="14.5">
      <c r="B132" s="5">
        <v>45061</v>
      </c>
      <c r="C132" s="6">
        <v>-499</v>
      </c>
      <c r="D132" s="6">
        <f ca="1">IFERROR(__xludf.DUMMYFUNCTION("-(SUM($C$4:C132))"),51813.5399999999)</f>
        <v>51813.539999999899</v>
      </c>
      <c r="E132" s="7">
        <f t="shared" si="0"/>
        <v>45061</v>
      </c>
    </row>
    <row r="133" spans="2:5" ht="14.5">
      <c r="B133" s="5">
        <v>45061</v>
      </c>
      <c r="C133" s="6">
        <v>-499</v>
      </c>
      <c r="D133" s="6">
        <f ca="1">IFERROR(__xludf.DUMMYFUNCTION("-(SUM($C$4:C133))"),52312.5399999999)</f>
        <v>52312.539999999899</v>
      </c>
      <c r="E133" s="7">
        <f t="shared" si="0"/>
        <v>45061</v>
      </c>
    </row>
    <row r="134" spans="2:5" ht="14.5">
      <c r="B134" s="5">
        <v>45061</v>
      </c>
      <c r="C134" s="6">
        <v>-199</v>
      </c>
      <c r="D134" s="6">
        <f ca="1">IFERROR(__xludf.DUMMYFUNCTION("-(SUM($C$4:C134))"),52511.5399999999)</f>
        <v>52511.539999999899</v>
      </c>
      <c r="E134" s="7">
        <f t="shared" si="0"/>
        <v>45061</v>
      </c>
    </row>
    <row r="135" spans="2:5" ht="14.5">
      <c r="B135" s="5">
        <v>45061</v>
      </c>
      <c r="C135" s="6">
        <v>-499</v>
      </c>
      <c r="D135" s="6">
        <f ca="1">IFERROR(__xludf.DUMMYFUNCTION("-(SUM($C$4:C135))"),53010.5399999999)</f>
        <v>53010.539999999899</v>
      </c>
      <c r="E135" s="7">
        <f t="shared" si="0"/>
        <v>45061</v>
      </c>
    </row>
    <row r="136" spans="2:5" ht="14.5">
      <c r="B136" s="5">
        <v>45061</v>
      </c>
      <c r="C136" s="6">
        <v>-199</v>
      </c>
      <c r="D136" s="6">
        <f ca="1">IFERROR(__xludf.DUMMYFUNCTION("-(SUM($C$4:C136))"),53209.5399999999)</f>
        <v>53209.539999999899</v>
      </c>
      <c r="E136" s="7">
        <f t="shared" si="0"/>
        <v>45061</v>
      </c>
    </row>
    <row r="137" spans="2:5" ht="14.5">
      <c r="B137" s="5">
        <v>45092</v>
      </c>
      <c r="C137" s="6">
        <v>-499</v>
      </c>
      <c r="D137" s="6">
        <f ca="1">IFERROR(__xludf.DUMMYFUNCTION("-(SUM($C$4:C137))"),53708.5399999999)</f>
        <v>53708.539999999899</v>
      </c>
      <c r="E137" s="7">
        <f t="shared" si="0"/>
        <v>45092</v>
      </c>
    </row>
    <row r="138" spans="2:5" ht="14.5">
      <c r="B138" s="5">
        <v>45092</v>
      </c>
      <c r="C138" s="6">
        <v>-199</v>
      </c>
      <c r="D138" s="6">
        <f ca="1">IFERROR(__xludf.DUMMYFUNCTION("-(SUM($C$4:C138))"),53907.5399999999)</f>
        <v>53907.539999999899</v>
      </c>
      <c r="E138" s="7">
        <f t="shared" si="0"/>
        <v>45092</v>
      </c>
    </row>
    <row r="139" spans="2:5" ht="14.5">
      <c r="B139" s="5">
        <v>45092</v>
      </c>
      <c r="C139" s="6">
        <v>-499</v>
      </c>
      <c r="D139" s="6">
        <f ca="1">IFERROR(__xludf.DUMMYFUNCTION("-(SUM($C$4:C139))"),54406.5399999999)</f>
        <v>54406.539999999899</v>
      </c>
      <c r="E139" s="7">
        <f t="shared" si="0"/>
        <v>45092</v>
      </c>
    </row>
    <row r="140" spans="2:5" ht="14.5">
      <c r="B140" s="5">
        <v>45092</v>
      </c>
      <c r="C140" s="6">
        <v>-199</v>
      </c>
      <c r="D140" s="6">
        <f ca="1">IFERROR(__xludf.DUMMYFUNCTION("-(SUM($C$4:C140))"),54605.5399999999)</f>
        <v>54605.539999999899</v>
      </c>
      <c r="E140" s="7">
        <f t="shared" si="0"/>
        <v>45092</v>
      </c>
    </row>
    <row r="141" spans="2:5" ht="14.5">
      <c r="B141" s="5">
        <v>45092</v>
      </c>
      <c r="C141" s="6">
        <v>-499</v>
      </c>
      <c r="D141" s="6">
        <f ca="1">IFERROR(__xludf.DUMMYFUNCTION("-(SUM($C$4:C141))"),55104.5399999999)</f>
        <v>55104.539999999899</v>
      </c>
      <c r="E141" s="7">
        <f t="shared" si="0"/>
        <v>45092</v>
      </c>
    </row>
    <row r="142" spans="2:5" ht="14.5">
      <c r="B142" s="5">
        <v>45092</v>
      </c>
      <c r="C142" s="6">
        <v>-100</v>
      </c>
      <c r="D142" s="6">
        <f ca="1">IFERROR(__xludf.DUMMYFUNCTION("-(SUM($C$4:C142))"),55204.5399999999)</f>
        <v>55204.539999999899</v>
      </c>
      <c r="E142" s="7">
        <f t="shared" si="0"/>
        <v>45092</v>
      </c>
    </row>
    <row r="143" spans="2:5" ht="14.5">
      <c r="B143" s="5">
        <v>45124</v>
      </c>
      <c r="C143" s="6">
        <v>-100</v>
      </c>
      <c r="D143" s="6">
        <f ca="1">IFERROR(__xludf.DUMMYFUNCTION("-(SUM($C$4:C143))"),55304.5399999999)</f>
        <v>55304.539999999899</v>
      </c>
      <c r="E143" s="7">
        <f t="shared" si="0"/>
        <v>45124</v>
      </c>
    </row>
    <row r="144" spans="2:5" ht="14.5">
      <c r="B144" s="5">
        <v>45124</v>
      </c>
      <c r="C144" s="6">
        <v>-199</v>
      </c>
      <c r="D144" s="6">
        <f ca="1">IFERROR(__xludf.DUMMYFUNCTION("-(SUM($C$4:C144))"),55503.5399999999)</f>
        <v>55503.539999999899</v>
      </c>
      <c r="E144" s="7">
        <f t="shared" si="0"/>
        <v>45124</v>
      </c>
    </row>
    <row r="145" spans="2:5" ht="14.5">
      <c r="B145" s="5">
        <v>45124</v>
      </c>
      <c r="C145" s="6">
        <v>-499</v>
      </c>
      <c r="D145" s="6">
        <f ca="1">IFERROR(__xludf.DUMMYFUNCTION("-(SUM($C$4:C145))"),56002.5399999999)</f>
        <v>56002.539999999899</v>
      </c>
      <c r="E145" s="7">
        <f t="shared" si="0"/>
        <v>45124</v>
      </c>
    </row>
    <row r="146" spans="2:5" ht="14.5">
      <c r="B146" s="5">
        <v>45124</v>
      </c>
      <c r="C146" s="6">
        <v>-199</v>
      </c>
      <c r="D146" s="6">
        <f ca="1">IFERROR(__xludf.DUMMYFUNCTION("-(SUM($C$4:C146))"),56201.5399999999)</f>
        <v>56201.539999999899</v>
      </c>
      <c r="E146" s="7">
        <f t="shared" si="0"/>
        <v>45124</v>
      </c>
    </row>
    <row r="147" spans="2:5" ht="14.5">
      <c r="B147" s="5">
        <v>45124</v>
      </c>
      <c r="C147" s="6">
        <v>-499</v>
      </c>
      <c r="D147" s="6">
        <f ca="1">IFERROR(__xludf.DUMMYFUNCTION("-(SUM($C$4:C147))"),56700.5399999999)</f>
        <v>56700.539999999899</v>
      </c>
      <c r="E147" s="7">
        <f t="shared" si="0"/>
        <v>45124</v>
      </c>
    </row>
    <row r="148" spans="2:5" ht="14.5">
      <c r="B148" s="5">
        <v>45124</v>
      </c>
      <c r="C148" s="6">
        <v>-499</v>
      </c>
      <c r="D148" s="6">
        <f ca="1">IFERROR(__xludf.DUMMYFUNCTION("-(SUM($C$4:C148))"),57199.5399999999)</f>
        <v>57199.539999999899</v>
      </c>
      <c r="E148" s="7">
        <f t="shared" si="0"/>
        <v>45124</v>
      </c>
    </row>
    <row r="149" spans="2:5" ht="14.5">
      <c r="B149" s="5">
        <v>45154</v>
      </c>
      <c r="C149" s="6">
        <v>-199</v>
      </c>
      <c r="D149" s="6">
        <f ca="1">IFERROR(__xludf.DUMMYFUNCTION("-(SUM($C$4:C149))"),57398.5399999999)</f>
        <v>57398.539999999899</v>
      </c>
      <c r="E149" s="7">
        <f t="shared" si="0"/>
        <v>45154</v>
      </c>
    </row>
    <row r="150" spans="2:5" ht="14.5">
      <c r="B150" s="5">
        <v>45154</v>
      </c>
      <c r="C150" s="6">
        <v>-499</v>
      </c>
      <c r="D150" s="6">
        <f ca="1">IFERROR(__xludf.DUMMYFUNCTION("-(SUM($C$4:C150))"),57897.5399999999)</f>
        <v>57897.539999999899</v>
      </c>
      <c r="E150" s="7">
        <f t="shared" si="0"/>
        <v>45154</v>
      </c>
    </row>
    <row r="151" spans="2:5" ht="14.5">
      <c r="B151" s="5">
        <v>45154</v>
      </c>
      <c r="C151" s="6">
        <v>-100</v>
      </c>
      <c r="D151" s="6">
        <f ca="1">IFERROR(__xludf.DUMMYFUNCTION("-(SUM($C$4:C151))"),57997.5399999999)</f>
        <v>57997.539999999899</v>
      </c>
      <c r="E151" s="7">
        <f t="shared" si="0"/>
        <v>45154</v>
      </c>
    </row>
    <row r="152" spans="2:5" ht="14.5">
      <c r="B152" s="5">
        <v>45154</v>
      </c>
      <c r="C152" s="6">
        <v>-499</v>
      </c>
      <c r="D152" s="6">
        <f ca="1">IFERROR(__xludf.DUMMYFUNCTION("-(SUM($C$4:C152))"),58496.5399999999)</f>
        <v>58496.539999999899</v>
      </c>
      <c r="E152" s="7">
        <f t="shared" si="0"/>
        <v>45154</v>
      </c>
    </row>
    <row r="153" spans="2:5" ht="14.5">
      <c r="B153" s="5">
        <v>45154</v>
      </c>
      <c r="C153" s="6">
        <v>-199</v>
      </c>
      <c r="D153" s="6">
        <f ca="1">IFERROR(__xludf.DUMMYFUNCTION("-(SUM($C$4:C153))"),58695.5399999999)</f>
        <v>58695.539999999899</v>
      </c>
      <c r="E153" s="7">
        <f t="shared" si="0"/>
        <v>45154</v>
      </c>
    </row>
    <row r="154" spans="2:5" ht="14.5">
      <c r="B154" s="5">
        <v>45154</v>
      </c>
      <c r="C154" s="6">
        <v>-499</v>
      </c>
      <c r="D154" s="6">
        <f ca="1">IFERROR(__xludf.DUMMYFUNCTION("-(SUM($C$4:C154))"),59194.5399999999)</f>
        <v>59194.539999999899</v>
      </c>
      <c r="E154" s="7">
        <f t="shared" si="0"/>
        <v>45154</v>
      </c>
    </row>
    <row r="155" spans="2:5" ht="14.5">
      <c r="B155" s="5">
        <v>45184</v>
      </c>
      <c r="C155" s="6">
        <v>-499</v>
      </c>
      <c r="D155" s="6">
        <f ca="1">IFERROR(__xludf.DUMMYFUNCTION("-(SUM($C$4:C155))"),59693.5399999999)</f>
        <v>59693.539999999899</v>
      </c>
      <c r="E155" s="7">
        <f t="shared" si="0"/>
        <v>45184</v>
      </c>
    </row>
    <row r="156" spans="2:5" ht="14.5">
      <c r="B156" s="5">
        <v>45184</v>
      </c>
      <c r="C156" s="6">
        <v>-199</v>
      </c>
      <c r="D156" s="6">
        <f ca="1">IFERROR(__xludf.DUMMYFUNCTION("-(SUM($C$4:C156))"),59892.5399999999)</f>
        <v>59892.539999999899</v>
      </c>
      <c r="E156" s="7">
        <f t="shared" si="0"/>
        <v>45184</v>
      </c>
    </row>
    <row r="157" spans="2:5" ht="14.5">
      <c r="B157" s="5">
        <v>45184</v>
      </c>
      <c r="C157" s="6">
        <v>-499</v>
      </c>
      <c r="D157" s="6">
        <f ca="1">IFERROR(__xludf.DUMMYFUNCTION("-(SUM($C$4:C157))"),60391.5399999999)</f>
        <v>60391.539999999899</v>
      </c>
      <c r="E157" s="7">
        <f t="shared" si="0"/>
        <v>45184</v>
      </c>
    </row>
    <row r="158" spans="2:5" ht="14.5">
      <c r="B158" s="5">
        <v>45184</v>
      </c>
      <c r="C158" s="6">
        <v>-100</v>
      </c>
      <c r="D158" s="6">
        <f ca="1">IFERROR(__xludf.DUMMYFUNCTION("-(SUM($C$4:C158))"),60491.5399999999)</f>
        <v>60491.539999999899</v>
      </c>
      <c r="E158" s="7">
        <f t="shared" si="0"/>
        <v>45184</v>
      </c>
    </row>
    <row r="159" spans="2:5" ht="14.5">
      <c r="B159" s="5">
        <v>45184</v>
      </c>
      <c r="C159" s="6">
        <v>-199</v>
      </c>
      <c r="D159" s="6">
        <f ca="1">IFERROR(__xludf.DUMMYFUNCTION("-(SUM($C$4:C159))"),60690.5399999999)</f>
        <v>60690.539999999899</v>
      </c>
      <c r="E159" s="7">
        <f t="shared" si="0"/>
        <v>45184</v>
      </c>
    </row>
    <row r="160" spans="2:5" ht="14.5">
      <c r="B160" s="5">
        <v>45184</v>
      </c>
      <c r="C160" s="6">
        <v>-499</v>
      </c>
      <c r="D160" s="6">
        <f ca="1">IFERROR(__xludf.DUMMYFUNCTION("-(SUM($C$4:C160))"),61189.5399999999)</f>
        <v>61189.539999999899</v>
      </c>
      <c r="E160" s="7">
        <f t="shared" si="0"/>
        <v>45184</v>
      </c>
    </row>
    <row r="161" spans="2:5" ht="14.5">
      <c r="B161" s="5">
        <v>45215</v>
      </c>
      <c r="C161" s="6">
        <v>-199</v>
      </c>
      <c r="D161" s="6">
        <f ca="1">IFERROR(__xludf.DUMMYFUNCTION("-(SUM($C$4:C161))"),61388.5399999999)</f>
        <v>61388.539999999899</v>
      </c>
      <c r="E161" s="7">
        <f t="shared" si="0"/>
        <v>45215</v>
      </c>
    </row>
    <row r="162" spans="2:5" ht="14.5">
      <c r="B162" s="5">
        <v>45215</v>
      </c>
      <c r="C162" s="6">
        <v>-499</v>
      </c>
      <c r="D162" s="6">
        <f ca="1">IFERROR(__xludf.DUMMYFUNCTION("-(SUM($C$4:C162))"),61887.5399999999)</f>
        <v>61887.539999999899</v>
      </c>
      <c r="E162" s="7">
        <f t="shared" si="0"/>
        <v>45215</v>
      </c>
    </row>
    <row r="163" spans="2:5" ht="14.5">
      <c r="B163" s="5">
        <v>45215</v>
      </c>
      <c r="C163" s="6">
        <v>-499</v>
      </c>
      <c r="D163" s="6">
        <f ca="1">IFERROR(__xludf.DUMMYFUNCTION("-(SUM($C$4:C163))"),62386.5399999999)</f>
        <v>62386.539999999899</v>
      </c>
      <c r="E163" s="7">
        <f t="shared" si="0"/>
        <v>45215</v>
      </c>
    </row>
    <row r="164" spans="2:5" ht="14.5">
      <c r="B164" s="5">
        <v>45215</v>
      </c>
      <c r="C164" s="6">
        <v>-499</v>
      </c>
      <c r="D164" s="6">
        <f ca="1">IFERROR(__xludf.DUMMYFUNCTION("-(SUM($C$4:C164))"),62885.5399999999)</f>
        <v>62885.539999999899</v>
      </c>
      <c r="E164" s="7">
        <f t="shared" si="0"/>
        <v>45215</v>
      </c>
    </row>
    <row r="165" spans="2:5" ht="14.5">
      <c r="B165" s="5">
        <v>45215</v>
      </c>
      <c r="C165" s="6">
        <v>-199</v>
      </c>
      <c r="D165" s="6">
        <f ca="1">IFERROR(__xludf.DUMMYFUNCTION("-(SUM($C$4:C165))"),63084.5399999999)</f>
        <v>63084.539999999899</v>
      </c>
      <c r="E165" s="7">
        <f t="shared" si="0"/>
        <v>45215</v>
      </c>
    </row>
    <row r="166" spans="2:5" ht="14.5">
      <c r="B166" s="5">
        <v>45215</v>
      </c>
      <c r="C166" s="6">
        <v>-100</v>
      </c>
      <c r="D166" s="6">
        <f ca="1">IFERROR(__xludf.DUMMYFUNCTION("-(SUM($C$4:C166))"),63184.5399999999)</f>
        <v>63184.539999999899</v>
      </c>
      <c r="E166" s="7">
        <f t="shared" si="0"/>
        <v>45215</v>
      </c>
    </row>
    <row r="167" spans="2:5" ht="14.5">
      <c r="B167" s="5">
        <v>45245</v>
      </c>
      <c r="C167" s="6">
        <v>-199</v>
      </c>
      <c r="D167" s="6">
        <f ca="1">IFERROR(__xludf.DUMMYFUNCTION("-(SUM($C$4:C167))"),63383.5399999999)</f>
        <v>63383.539999999899</v>
      </c>
      <c r="E167" s="7">
        <f t="shared" si="0"/>
        <v>45245</v>
      </c>
    </row>
    <row r="168" spans="2:5" ht="14.5">
      <c r="B168" s="5">
        <v>45245</v>
      </c>
      <c r="C168" s="6">
        <v>-499</v>
      </c>
      <c r="D168" s="6">
        <f ca="1">IFERROR(__xludf.DUMMYFUNCTION("-(SUM($C$4:C168))"),63882.5399999999)</f>
        <v>63882.539999999899</v>
      </c>
      <c r="E168" s="7">
        <f t="shared" si="0"/>
        <v>45245</v>
      </c>
    </row>
    <row r="169" spans="2:5" ht="14.5">
      <c r="B169" s="5">
        <v>45245</v>
      </c>
      <c r="C169" s="6">
        <v>-499</v>
      </c>
      <c r="D169" s="6">
        <f ca="1">IFERROR(__xludf.DUMMYFUNCTION("-(SUM($C$4:C169))"),64381.5399999999)</f>
        <v>64381.539999999899</v>
      </c>
      <c r="E169" s="7">
        <f t="shared" si="0"/>
        <v>45245</v>
      </c>
    </row>
    <row r="170" spans="2:5" ht="14.5">
      <c r="B170" s="5">
        <v>45245</v>
      </c>
      <c r="C170" s="6">
        <v>-199</v>
      </c>
      <c r="D170" s="6">
        <f ca="1">IFERROR(__xludf.DUMMYFUNCTION("-(SUM($C$4:C170))"),64580.5399999999)</f>
        <v>64580.539999999899</v>
      </c>
      <c r="E170" s="7">
        <f t="shared" si="0"/>
        <v>45245</v>
      </c>
    </row>
    <row r="171" spans="2:5" ht="14.5">
      <c r="B171" s="5">
        <v>45245</v>
      </c>
      <c r="C171" s="6">
        <v>-100</v>
      </c>
      <c r="D171" s="6">
        <f ca="1">IFERROR(__xludf.DUMMYFUNCTION("-(SUM($C$4:C171))"),64680.5399999999)</f>
        <v>64680.539999999899</v>
      </c>
      <c r="E171" s="7">
        <f t="shared" si="0"/>
        <v>45245</v>
      </c>
    </row>
    <row r="172" spans="2:5" ht="14.5">
      <c r="B172" s="5">
        <v>45245</v>
      </c>
      <c r="C172" s="6">
        <v>-499</v>
      </c>
      <c r="D172" s="6">
        <f ca="1">IFERROR(__xludf.DUMMYFUNCTION("-(SUM($C$4:C172))"),65179.5399999999)</f>
        <v>65179.539999999899</v>
      </c>
      <c r="E172" s="7">
        <f t="shared" si="0"/>
        <v>45245</v>
      </c>
    </row>
    <row r="173" spans="2:5" ht="14.5">
      <c r="B173" s="5">
        <v>45275</v>
      </c>
      <c r="C173" s="6">
        <v>-499</v>
      </c>
      <c r="D173" s="6">
        <f ca="1">IFERROR(__xludf.DUMMYFUNCTION("-(SUM($C$4:C173))"),65678.54)</f>
        <v>65678.539999999994</v>
      </c>
      <c r="E173" s="7">
        <f t="shared" si="0"/>
        <v>45275</v>
      </c>
    </row>
    <row r="174" spans="2:5" ht="14.5">
      <c r="B174" s="5">
        <v>45275</v>
      </c>
      <c r="C174" s="6">
        <v>-199</v>
      </c>
      <c r="D174" s="6">
        <f ca="1">IFERROR(__xludf.DUMMYFUNCTION("-(SUM($C$4:C174))"),65877.54)</f>
        <v>65877.539999999994</v>
      </c>
      <c r="E174" s="7">
        <f t="shared" si="0"/>
        <v>45275</v>
      </c>
    </row>
    <row r="175" spans="2:5" ht="14.5">
      <c r="B175" s="5">
        <v>45275</v>
      </c>
      <c r="C175" s="6">
        <v>-100</v>
      </c>
      <c r="D175" s="6">
        <f ca="1">IFERROR(__xludf.DUMMYFUNCTION("-(SUM($C$4:C175))"),65977.54)</f>
        <v>65977.539999999994</v>
      </c>
      <c r="E175" s="7">
        <f t="shared" si="0"/>
        <v>45275</v>
      </c>
    </row>
    <row r="176" spans="2:5" ht="14.5">
      <c r="B176" s="5">
        <v>45275</v>
      </c>
      <c r="C176" s="6">
        <v>-199</v>
      </c>
      <c r="D176" s="6">
        <f ca="1">IFERROR(__xludf.DUMMYFUNCTION("-(SUM($C$4:C176))"),66176.54)</f>
        <v>66176.539999999994</v>
      </c>
      <c r="E176" s="7">
        <f t="shared" si="0"/>
        <v>45275</v>
      </c>
    </row>
    <row r="177" spans="2:5" ht="14.5">
      <c r="B177" s="5">
        <v>45275</v>
      </c>
      <c r="C177" s="6">
        <v>-499</v>
      </c>
      <c r="D177" s="6">
        <f ca="1">IFERROR(__xludf.DUMMYFUNCTION("-(SUM($C$4:C177))"),66675.54)</f>
        <v>66675.539999999994</v>
      </c>
      <c r="E177" s="7">
        <f t="shared" si="0"/>
        <v>45275</v>
      </c>
    </row>
    <row r="178" spans="2:5" ht="14.5">
      <c r="B178" s="5">
        <v>45275</v>
      </c>
      <c r="C178" s="6">
        <v>-499</v>
      </c>
      <c r="D178" s="6">
        <f ca="1">IFERROR(__xludf.DUMMYFUNCTION("-(SUM($C$4:C178))"),67174.54)</f>
        <v>67174.539999999994</v>
      </c>
      <c r="E178" s="7">
        <f t="shared" si="0"/>
        <v>45275</v>
      </c>
    </row>
    <row r="179" spans="2:5" ht="14.5">
      <c r="B179" s="5">
        <v>45306</v>
      </c>
      <c r="C179" s="6">
        <v>-499</v>
      </c>
      <c r="D179" s="6">
        <f ca="1">IFERROR(__xludf.DUMMYFUNCTION("-(SUM($C$4:C179))"),67673.54)</f>
        <v>67673.539999999994</v>
      </c>
      <c r="E179" s="7">
        <f t="shared" si="0"/>
        <v>45306</v>
      </c>
    </row>
    <row r="180" spans="2:5" ht="14.5">
      <c r="B180" s="5">
        <v>45306</v>
      </c>
      <c r="C180" s="6">
        <v>-499</v>
      </c>
      <c r="D180" s="6">
        <f ca="1">IFERROR(__xludf.DUMMYFUNCTION("-(SUM($C$4:C180))"),68172.54)</f>
        <v>68172.539999999994</v>
      </c>
      <c r="E180" s="7">
        <f t="shared" si="0"/>
        <v>45306</v>
      </c>
    </row>
    <row r="181" spans="2:5" ht="14.5">
      <c r="B181" s="5">
        <v>45306</v>
      </c>
      <c r="C181" s="6">
        <v>-499</v>
      </c>
      <c r="D181" s="6">
        <f ca="1">IFERROR(__xludf.DUMMYFUNCTION("-(SUM($C$4:C181))"),68671.54)</f>
        <v>68671.539999999994</v>
      </c>
      <c r="E181" s="7">
        <f t="shared" si="0"/>
        <v>45306</v>
      </c>
    </row>
    <row r="182" spans="2:5" ht="14.5">
      <c r="B182" s="5">
        <v>45307</v>
      </c>
      <c r="C182" s="6">
        <v>-499</v>
      </c>
      <c r="D182" s="6">
        <f ca="1">IFERROR(__xludf.DUMMYFUNCTION("-(SUM($C$4:C182))"),69170.54)</f>
        <v>69170.539999999994</v>
      </c>
      <c r="E182" s="7">
        <f t="shared" si="0"/>
        <v>45307</v>
      </c>
    </row>
    <row r="183" spans="2:5" ht="14.5">
      <c r="B183" s="5">
        <v>45310</v>
      </c>
      <c r="C183" s="17">
        <v>1368</v>
      </c>
      <c r="D183" s="6">
        <f ca="1">IFERROR(__xludf.DUMMYFUNCTION("-(SUM($C$4:C183))"),67802.54)</f>
        <v>67802.539999999994</v>
      </c>
      <c r="E183" s="7">
        <f t="shared" si="0"/>
        <v>45310</v>
      </c>
    </row>
    <row r="184" spans="2:5" ht="14.5">
      <c r="B184" s="5">
        <v>45310</v>
      </c>
      <c r="C184" s="17">
        <v>9585</v>
      </c>
      <c r="D184" s="6">
        <f ca="1">IFERROR(__xludf.DUMMYFUNCTION("-(SUM($C$4:C184))"),58217.5399999999)</f>
        <v>58217.539999999899</v>
      </c>
      <c r="E184" s="7">
        <f t="shared" si="0"/>
        <v>45310</v>
      </c>
    </row>
    <row r="185" spans="2:5" ht="14.5">
      <c r="B185" s="5">
        <v>45310</v>
      </c>
      <c r="C185" s="17">
        <v>18541</v>
      </c>
      <c r="D185" s="6">
        <f ca="1">IFERROR(__xludf.DUMMYFUNCTION("-(SUM($C$4:C185))"),39676.5399999999)</f>
        <v>39676.539999999899</v>
      </c>
      <c r="E185" s="7">
        <f t="shared" si="0"/>
        <v>45310</v>
      </c>
    </row>
    <row r="186" spans="2:5" ht="14.5">
      <c r="B186" s="5">
        <v>45314</v>
      </c>
      <c r="C186" s="6">
        <v>-18541</v>
      </c>
      <c r="D186" s="6">
        <f ca="1">IFERROR(__xludf.DUMMYFUNCTION("-(SUM($C$4:C186))"),58217.5399999999)</f>
        <v>58217.539999999899</v>
      </c>
      <c r="E186" s="7">
        <f t="shared" si="0"/>
        <v>45314</v>
      </c>
    </row>
    <row r="187" spans="2:5" ht="14.5">
      <c r="B187" s="5">
        <v>45314</v>
      </c>
      <c r="C187" s="6">
        <v>-9584</v>
      </c>
      <c r="D187" s="6">
        <f ca="1">IFERROR(__xludf.DUMMYFUNCTION("-(SUM($C$4:C187))"),67801.54)</f>
        <v>67801.539999999994</v>
      </c>
      <c r="E187" s="7">
        <f t="shared" si="0"/>
        <v>45314</v>
      </c>
    </row>
    <row r="188" spans="2:5" ht="14.5">
      <c r="B188" s="5">
        <v>45315</v>
      </c>
      <c r="C188" s="6">
        <v>-1368</v>
      </c>
      <c r="D188" s="6">
        <f ca="1">IFERROR(__xludf.DUMMYFUNCTION("-(SUM($C$4:C188))"),69169.54)</f>
        <v>69169.539999999994</v>
      </c>
      <c r="E188" s="7">
        <f t="shared" si="0"/>
        <v>45315</v>
      </c>
    </row>
    <row r="189" spans="2:5" ht="14.5">
      <c r="B189" s="5">
        <v>45337</v>
      </c>
      <c r="C189" s="6">
        <v>-499</v>
      </c>
      <c r="D189" s="6">
        <f ca="1">IFERROR(__xludf.DUMMYFUNCTION("-(SUM($C$4:C189))"),69668.54)</f>
        <v>69668.539999999994</v>
      </c>
      <c r="E189" s="7">
        <f t="shared" si="0"/>
        <v>45337</v>
      </c>
    </row>
    <row r="190" spans="2:5" ht="14.5">
      <c r="B190" s="5">
        <v>45337</v>
      </c>
      <c r="C190" s="6">
        <v>-499</v>
      </c>
      <c r="D190" s="6">
        <f ca="1">IFERROR(__xludf.DUMMYFUNCTION("-(SUM($C$4:C190))"),70167.54)</f>
        <v>70167.539999999994</v>
      </c>
      <c r="E190" s="7">
        <f t="shared" si="0"/>
        <v>45337</v>
      </c>
    </row>
    <row r="191" spans="2:5" ht="14.5">
      <c r="B191" s="5">
        <v>45337</v>
      </c>
      <c r="C191" s="6">
        <v>-499</v>
      </c>
      <c r="D191" s="6">
        <f ca="1">IFERROR(__xludf.DUMMYFUNCTION("-(SUM($C$4:C191))"),70666.54)</f>
        <v>70666.539999999994</v>
      </c>
      <c r="E191" s="7">
        <f t="shared" si="0"/>
        <v>45337</v>
      </c>
    </row>
    <row r="192" spans="2:5" ht="14.5">
      <c r="B192" s="5">
        <v>45337</v>
      </c>
      <c r="C192" s="6">
        <v>-499</v>
      </c>
      <c r="D192" s="6">
        <f ca="1">IFERROR(__xludf.DUMMYFUNCTION("-(SUM($C$4:C192))"),71165.54)</f>
        <v>71165.539999999994</v>
      </c>
      <c r="E192" s="7">
        <f t="shared" si="0"/>
        <v>45337</v>
      </c>
    </row>
    <row r="193" spans="2:5" ht="14.5">
      <c r="B193" s="5">
        <v>45357</v>
      </c>
      <c r="C193" s="6">
        <v>9296</v>
      </c>
      <c r="D193" s="6">
        <f ca="1">IFERROR(__xludf.DUMMYFUNCTION("-(SUM($C$4:C193))"),61869.5399999999)</f>
        <v>61869.539999999899</v>
      </c>
      <c r="E193" s="7">
        <f t="shared" si="0"/>
        <v>45357</v>
      </c>
    </row>
    <row r="194" spans="2:5" ht="14.5">
      <c r="B194" s="5">
        <v>45358</v>
      </c>
      <c r="C194" s="6">
        <v>-19834</v>
      </c>
      <c r="D194" s="6">
        <f ca="1">IFERROR(__xludf.DUMMYFUNCTION("-(SUM($C$4:C194))"),81703.54)</f>
        <v>81703.539999999994</v>
      </c>
      <c r="E194" s="7">
        <f t="shared" si="0"/>
        <v>45358</v>
      </c>
    </row>
    <row r="195" spans="2:5" ht="14.5">
      <c r="B195" s="5">
        <v>45358</v>
      </c>
      <c r="C195" s="17">
        <v>19835</v>
      </c>
      <c r="D195" s="6">
        <f ca="1">IFERROR(__xludf.DUMMYFUNCTION("-(SUM($C$4:C195))"),61868.5399999999)</f>
        <v>61868.539999999899</v>
      </c>
      <c r="E195" s="7">
        <f t="shared" si="0"/>
        <v>45358</v>
      </c>
    </row>
    <row r="196" spans="2:5" ht="14.5">
      <c r="B196" s="5">
        <v>45358</v>
      </c>
      <c r="C196" s="17">
        <v>31350</v>
      </c>
      <c r="D196" s="6">
        <f ca="1">IFERROR(__xludf.DUMMYFUNCTION("-(SUM($C$4:C196))"),30518.5399999999)</f>
        <v>30518.539999999899</v>
      </c>
      <c r="E196" s="7">
        <f t="shared" si="0"/>
        <v>45358</v>
      </c>
    </row>
    <row r="197" spans="2:5" ht="14.5">
      <c r="B197" s="5">
        <v>45363</v>
      </c>
      <c r="C197" s="6">
        <v>-31349</v>
      </c>
      <c r="D197" s="6">
        <f ca="1">IFERROR(__xludf.DUMMYFUNCTION("-(SUM($C$4:C197))"),61867.5399999999)</f>
        <v>61867.539999999899</v>
      </c>
      <c r="E197" s="7">
        <f t="shared" si="0"/>
        <v>45363</v>
      </c>
    </row>
    <row r="198" spans="2:5" ht="14.5">
      <c r="B198" s="5">
        <v>45366</v>
      </c>
      <c r="C198" s="6">
        <v>-499</v>
      </c>
      <c r="D198" s="6">
        <f ca="1">IFERROR(__xludf.DUMMYFUNCTION("-(SUM($C$4:C198))"),62366.5399999999)</f>
        <v>62366.539999999899</v>
      </c>
      <c r="E198" s="7">
        <f t="shared" si="0"/>
        <v>45366</v>
      </c>
    </row>
    <row r="199" spans="2:5" ht="14.5">
      <c r="B199" s="5">
        <v>45366</v>
      </c>
      <c r="C199" s="6">
        <v>-499</v>
      </c>
      <c r="D199" s="6">
        <f ca="1">IFERROR(__xludf.DUMMYFUNCTION("-(SUM($C$4:C199))"),62865.5399999999)</f>
        <v>62865.539999999899</v>
      </c>
      <c r="E199" s="7">
        <f t="shared" si="0"/>
        <v>45366</v>
      </c>
    </row>
    <row r="200" spans="2:5" ht="14.5">
      <c r="B200" s="5">
        <v>45366</v>
      </c>
      <c r="C200" s="6">
        <v>-499</v>
      </c>
      <c r="D200" s="6">
        <f ca="1">IFERROR(__xludf.DUMMYFUNCTION("-(SUM($C$4:C200))"),63364.5399999999)</f>
        <v>63364.539999999899</v>
      </c>
      <c r="E200" s="7">
        <f t="shared" si="0"/>
        <v>45366</v>
      </c>
    </row>
    <row r="201" spans="2:5" ht="14.5">
      <c r="B201" s="5">
        <v>45369</v>
      </c>
      <c r="C201" s="6">
        <v>-499</v>
      </c>
      <c r="D201" s="6">
        <f ca="1">IFERROR(__xludf.DUMMYFUNCTION("-(SUM($C$4:C201))"),63863.5399999999)</f>
        <v>63863.539999999899</v>
      </c>
      <c r="E201" s="7">
        <f t="shared" si="0"/>
        <v>45369</v>
      </c>
    </row>
    <row r="202" spans="2:5" ht="14.5">
      <c r="B202" s="5">
        <v>45397</v>
      </c>
      <c r="C202" s="6">
        <v>-499</v>
      </c>
      <c r="D202" s="6">
        <f ca="1">IFERROR(__xludf.DUMMYFUNCTION("-(SUM($C$4:C202))"),64362.5399999999)</f>
        <v>64362.539999999899</v>
      </c>
      <c r="E202" s="7">
        <f t="shared" si="0"/>
        <v>45397</v>
      </c>
    </row>
    <row r="203" spans="2:5" ht="14.5">
      <c r="B203" s="5">
        <v>45398</v>
      </c>
      <c r="C203" s="6">
        <v>-499</v>
      </c>
      <c r="D203" s="6">
        <f ca="1">IFERROR(__xludf.DUMMYFUNCTION("-(SUM($C$4:C203))"),64861.5399999999)</f>
        <v>64861.539999999899</v>
      </c>
      <c r="E203" s="7">
        <f t="shared" si="0"/>
        <v>45398</v>
      </c>
    </row>
    <row r="204" spans="2:5" ht="14.5">
      <c r="B204" s="5">
        <v>45398</v>
      </c>
      <c r="C204" s="6">
        <v>-499</v>
      </c>
      <c r="D204" s="6">
        <f ca="1">IFERROR(__xludf.DUMMYFUNCTION("-(SUM($C$4:C204))"),65360.5399999999)</f>
        <v>65360.539999999899</v>
      </c>
      <c r="E204" s="7">
        <f t="shared" si="0"/>
        <v>45398</v>
      </c>
    </row>
    <row r="205" spans="2:5" ht="14.5">
      <c r="B205" s="5">
        <v>45398</v>
      </c>
      <c r="C205" s="6">
        <v>-499</v>
      </c>
      <c r="D205" s="6">
        <f ca="1">IFERROR(__xludf.DUMMYFUNCTION("-(SUM($C$4:C205))"),65859.54)</f>
        <v>65859.539999999994</v>
      </c>
      <c r="E205" s="7">
        <f t="shared" si="0"/>
        <v>45398</v>
      </c>
    </row>
    <row r="206" spans="2:5" ht="14.5">
      <c r="B206" s="5">
        <v>45428</v>
      </c>
      <c r="C206" s="6">
        <v>-499</v>
      </c>
      <c r="D206" s="6">
        <f ca="1">IFERROR(__xludf.DUMMYFUNCTION("-(SUM($C$4:C206))"),66358.54)</f>
        <v>66358.539999999994</v>
      </c>
      <c r="E206" s="7">
        <f t="shared" si="0"/>
        <v>45428</v>
      </c>
    </row>
    <row r="207" spans="2:5" ht="14.5">
      <c r="B207" s="5">
        <v>45428</v>
      </c>
      <c r="C207" s="6">
        <v>-499</v>
      </c>
      <c r="D207" s="6">
        <f ca="1">IFERROR(__xludf.DUMMYFUNCTION("-(SUM($C$4:C207))"),66857.54)</f>
        <v>66857.539999999994</v>
      </c>
      <c r="E207" s="7">
        <f t="shared" si="0"/>
        <v>45428</v>
      </c>
    </row>
    <row r="208" spans="2:5" ht="14.5">
      <c r="B208" s="5">
        <v>45428</v>
      </c>
      <c r="C208" s="6">
        <v>-499</v>
      </c>
      <c r="D208" s="6">
        <f ca="1">IFERROR(__xludf.DUMMYFUNCTION("-(SUM($C$4:C208))"),67356.54)</f>
        <v>67356.539999999994</v>
      </c>
      <c r="E208" s="7">
        <f t="shared" si="0"/>
        <v>45428</v>
      </c>
    </row>
    <row r="209" spans="2:5" ht="14.5">
      <c r="B209" s="5">
        <v>45428</v>
      </c>
      <c r="C209" s="6">
        <v>-499</v>
      </c>
      <c r="D209" s="6">
        <f ca="1">IFERROR(__xludf.DUMMYFUNCTION("-(SUM($C$4:C209))"),67855.54)</f>
        <v>67855.539999999994</v>
      </c>
      <c r="E209" s="7">
        <f t="shared" si="0"/>
        <v>45428</v>
      </c>
    </row>
    <row r="210" spans="2:5" ht="14.5">
      <c r="B210" s="5">
        <v>45462</v>
      </c>
      <c r="C210" s="6">
        <v>-499</v>
      </c>
      <c r="D210" s="6">
        <f ca="1">IFERROR(__xludf.DUMMYFUNCTION("-(SUM($C$4:C210))"),68354.54)</f>
        <v>68354.539999999994</v>
      </c>
      <c r="E210" s="7">
        <f t="shared" si="0"/>
        <v>45462</v>
      </c>
    </row>
    <row r="211" spans="2:5" ht="14.5">
      <c r="B211" s="5">
        <v>45462</v>
      </c>
      <c r="C211" s="6">
        <v>-499</v>
      </c>
      <c r="D211" s="6">
        <f ca="1">IFERROR(__xludf.DUMMYFUNCTION("-(SUM($C$4:C211))"),68853.54)</f>
        <v>68853.539999999994</v>
      </c>
      <c r="E211" s="7">
        <f t="shared" si="0"/>
        <v>45462</v>
      </c>
    </row>
    <row r="212" spans="2:5" ht="14.5">
      <c r="B212" s="5">
        <v>45462</v>
      </c>
      <c r="C212" s="6">
        <v>-499</v>
      </c>
      <c r="D212" s="6">
        <f ca="1">IFERROR(__xludf.DUMMYFUNCTION("-(SUM($C$4:C212))"),69352.54)</f>
        <v>69352.539999999994</v>
      </c>
      <c r="E212" s="7">
        <f t="shared" si="0"/>
        <v>45462</v>
      </c>
    </row>
    <row r="213" spans="2:5" ht="14.5">
      <c r="B213" s="5">
        <v>45462</v>
      </c>
      <c r="C213" s="6">
        <v>-499</v>
      </c>
      <c r="D213" s="6">
        <f ca="1">IFERROR(__xludf.DUMMYFUNCTION("-(SUM($C$4:C213))"),69851.54)</f>
        <v>69851.539999999994</v>
      </c>
      <c r="E213" s="7">
        <f t="shared" si="0"/>
        <v>45462</v>
      </c>
    </row>
    <row r="214" spans="2:5" ht="14.5">
      <c r="B214" s="5">
        <v>45477</v>
      </c>
      <c r="C214" s="17">
        <v>20261</v>
      </c>
      <c r="D214" s="6">
        <f ca="1">IFERROR(__xludf.DUMMYFUNCTION("-(SUM($C$4:C214))"),49590.5399999999)</f>
        <v>49590.539999999899</v>
      </c>
      <c r="E214" s="7">
        <f t="shared" si="0"/>
        <v>45477</v>
      </c>
    </row>
    <row r="215" spans="2:5" ht="14.5">
      <c r="B215" s="5">
        <v>45488</v>
      </c>
      <c r="C215" s="17">
        <v>32168</v>
      </c>
      <c r="D215" s="6">
        <f ca="1">IFERROR(__xludf.DUMMYFUNCTION("-(SUM($C$4:C215))"),17422.5399999999)</f>
        <v>17422.539999999899</v>
      </c>
      <c r="E215" s="7">
        <f t="shared" si="0"/>
        <v>45488</v>
      </c>
    </row>
    <row r="216" spans="2:5" ht="14.5">
      <c r="B216" s="5">
        <v>45488</v>
      </c>
      <c r="C216" s="17">
        <v>19203</v>
      </c>
      <c r="D216" s="6">
        <f ca="1">IFERROR(__xludf.DUMMYFUNCTION("-(SUM($C$4:C216))"),-1780.46)</f>
        <v>-1780.46</v>
      </c>
      <c r="E216" s="7">
        <f t="shared" si="0"/>
        <v>45488</v>
      </c>
    </row>
    <row r="217" spans="2:5" ht="14.5">
      <c r="B217" s="5">
        <v>45488</v>
      </c>
      <c r="C217" s="17">
        <v>9926</v>
      </c>
      <c r="D217" s="6">
        <f ca="1">IFERROR(__xludf.DUMMYFUNCTION("-(SUM($C$4:C217))"),-11706.46)</f>
        <v>-11706.46</v>
      </c>
      <c r="E217" s="7">
        <f t="shared" si="0"/>
        <v>45488</v>
      </c>
    </row>
    <row r="218" spans="2:5" ht="14.5">
      <c r="B218" s="5">
        <v>45488</v>
      </c>
      <c r="C218" s="17">
        <v>1419</v>
      </c>
      <c r="D218" s="6">
        <f ca="1">IFERROR(__xludf.DUMMYFUNCTION("-(SUM($C$4:C218))"),-13125.46)</f>
        <v>-13125.46</v>
      </c>
      <c r="E218" s="7">
        <f t="shared" si="0"/>
        <v>45488</v>
      </c>
    </row>
    <row r="219" spans="2:5" ht="14.5">
      <c r="B219" s="5">
        <v>45489</v>
      </c>
      <c r="C219" s="6">
        <v>-499</v>
      </c>
      <c r="D219" s="6">
        <f ca="1">IFERROR(__xludf.DUMMYFUNCTION("-(SUM($C$4:C219))"),-12626.46)</f>
        <v>-12626.46</v>
      </c>
      <c r="E219" s="7">
        <f t="shared" si="0"/>
        <v>45489</v>
      </c>
    </row>
    <row r="220" spans="2:5" ht="14.5">
      <c r="B220" s="5">
        <v>45489</v>
      </c>
      <c r="C220" s="6">
        <v>-499</v>
      </c>
      <c r="D220" s="6">
        <f ca="1">IFERROR(__xludf.DUMMYFUNCTION("-(SUM($C$4:C220))"),-12127.46)</f>
        <v>-12127.46</v>
      </c>
      <c r="E220" s="7">
        <f t="shared" si="0"/>
        <v>45489</v>
      </c>
    </row>
    <row r="221" spans="2:5" ht="14.5">
      <c r="B221" s="5">
        <v>45489</v>
      </c>
      <c r="C221" s="6">
        <v>-499</v>
      </c>
      <c r="D221" s="6">
        <f ca="1">IFERROR(__xludf.DUMMYFUNCTION("-(SUM($C$4:C221))"),-11628.46)</f>
        <v>-11628.46</v>
      </c>
      <c r="E221" s="7">
        <f t="shared" si="0"/>
        <v>45489</v>
      </c>
    </row>
    <row r="222" spans="2:5" ht="14.5">
      <c r="B222" s="5">
        <v>45489</v>
      </c>
      <c r="C222" s="6">
        <v>-499</v>
      </c>
      <c r="D222" s="6">
        <f ca="1">IFERROR(__xludf.DUMMYFUNCTION("-(SUM($C$4:C222))"),-11129.46)</f>
        <v>-11129.46</v>
      </c>
      <c r="E222" s="7">
        <f t="shared" si="0"/>
        <v>45489</v>
      </c>
    </row>
    <row r="223" spans="2:5" ht="14.5">
      <c r="B223" s="5">
        <v>45489</v>
      </c>
      <c r="C223" s="6">
        <v>-499</v>
      </c>
      <c r="D223" s="6">
        <f ca="1">IFERROR(__xludf.DUMMYFUNCTION("-(SUM($C$4:C223))"),-10630.46)</f>
        <v>-10630.46</v>
      </c>
      <c r="E223" s="7">
        <f t="shared" si="0"/>
        <v>45489</v>
      </c>
    </row>
    <row r="224" spans="2:5" ht="14.5">
      <c r="B224" s="5">
        <v>45489</v>
      </c>
      <c r="C224" s="6">
        <v>-499</v>
      </c>
      <c r="D224" s="6">
        <f ca="1">IFERROR(__xludf.DUMMYFUNCTION("-(SUM($C$4:C224))"),-10131.46)</f>
        <v>-10131.459999999999</v>
      </c>
      <c r="E224" s="7">
        <f t="shared" si="0"/>
        <v>45489</v>
      </c>
    </row>
    <row r="225" spans="2:5" ht="14.5">
      <c r="B225" s="5">
        <v>45489</v>
      </c>
      <c r="C225" s="6">
        <v>-100</v>
      </c>
      <c r="D225" s="6">
        <f ca="1">IFERROR(__xludf.DUMMYFUNCTION("-(SUM($C$4:C225))"),-10031.46)</f>
        <v>-10031.459999999999</v>
      </c>
      <c r="E225" s="7">
        <f t="shared" si="0"/>
        <v>45489</v>
      </c>
    </row>
    <row r="226" spans="2:5" ht="14.5">
      <c r="B226" s="5">
        <v>45491</v>
      </c>
      <c r="C226" s="17">
        <v>7784</v>
      </c>
      <c r="D226" s="6">
        <f ca="1">IFERROR(__xludf.DUMMYFUNCTION("-(SUM($C$4:C226))"),-17815.46)</f>
        <v>-17815.46</v>
      </c>
      <c r="E226" s="7">
        <f t="shared" si="0"/>
        <v>45491</v>
      </c>
    </row>
    <row r="227" spans="2:5" ht="14.5">
      <c r="B227" s="5">
        <v>45491</v>
      </c>
      <c r="C227" s="17">
        <v>2742</v>
      </c>
      <c r="D227" s="6">
        <f ca="1">IFERROR(__xludf.DUMMYFUNCTION("-(SUM($C$4:C227))"),-20557.46)</f>
        <v>-20557.46</v>
      </c>
      <c r="E227" s="7">
        <f t="shared" si="0"/>
        <v>45491</v>
      </c>
    </row>
    <row r="228" spans="2:5" ht="14.5">
      <c r="B228" s="5">
        <v>45491</v>
      </c>
      <c r="C228" s="6">
        <v>98</v>
      </c>
      <c r="D228" s="6">
        <f ca="1">IFERROR(__xludf.DUMMYFUNCTION("-(SUM($C$4:C228))"),-20655.46)</f>
        <v>-20655.46</v>
      </c>
      <c r="E228" s="7">
        <f t="shared" si="0"/>
        <v>45491</v>
      </c>
    </row>
    <row r="229" spans="2:5" ht="14.5">
      <c r="B229" s="5">
        <v>45495</v>
      </c>
      <c r="C229" s="6">
        <v>-22748</v>
      </c>
      <c r="D229" s="6">
        <f ca="1">IFERROR(__xludf.DUMMYFUNCTION("-(SUM($C$4:C229))"),2092.53999999999)</f>
        <v>2092.53999999999</v>
      </c>
      <c r="E229" s="7">
        <f t="shared" si="0"/>
        <v>45495</v>
      </c>
    </row>
    <row r="230" spans="2:5" ht="14.5">
      <c r="B230" s="5">
        <v>45498</v>
      </c>
      <c r="C230" s="6">
        <v>-9999</v>
      </c>
      <c r="D230" s="6">
        <f ca="1">IFERROR(__xludf.DUMMYFUNCTION("-(SUM($C$4:C230))"),12091.5399999999)</f>
        <v>12091.539999999901</v>
      </c>
      <c r="E230" s="7">
        <f t="shared" si="0"/>
        <v>45498</v>
      </c>
    </row>
    <row r="231" spans="2:5" ht="14.5">
      <c r="B231" s="5">
        <v>45498</v>
      </c>
      <c r="C231" s="6">
        <v>-9999</v>
      </c>
      <c r="D231" s="6">
        <f ca="1">IFERROR(__xludf.DUMMYFUNCTION("-(SUM($C$4:C231))"),22090.5399999999)</f>
        <v>22090.539999999899</v>
      </c>
      <c r="E231" s="7">
        <f t="shared" si="0"/>
        <v>45498</v>
      </c>
    </row>
    <row r="232" spans="2:5" ht="14.5">
      <c r="B232" s="5">
        <v>45498</v>
      </c>
      <c r="C232" s="20">
        <v>-9550.2000000000007</v>
      </c>
      <c r="D232" s="6">
        <f ca="1">IFERROR(__xludf.DUMMYFUNCTION("-(SUM($C$4:C232))"),31640.7399999999)</f>
        <v>31640.7399999999</v>
      </c>
      <c r="E232" s="7">
        <f t="shared" si="0"/>
        <v>45498</v>
      </c>
    </row>
    <row r="233" spans="2:5" ht="12.5">
      <c r="B233" s="7">
        <v>45518</v>
      </c>
      <c r="C233" s="17">
        <v>20000</v>
      </c>
      <c r="D233" s="6">
        <f ca="1">IFERROR(__xludf.DUMMYFUNCTION("-(SUM($C$4:C233))"),11640.7399999999)</f>
        <v>11640.7399999999</v>
      </c>
      <c r="E233" s="7">
        <f t="shared" si="0"/>
        <v>45518</v>
      </c>
    </row>
    <row r="234" spans="2:5" ht="14.5">
      <c r="B234" s="21">
        <v>45520</v>
      </c>
      <c r="C234" s="6">
        <v>-499</v>
      </c>
      <c r="D234" s="6">
        <f ca="1">IFERROR(__xludf.DUMMYFUNCTION("-(SUM($C$4:C234))"),12139.7399999999)</f>
        <v>12139.7399999999</v>
      </c>
      <c r="E234" s="7">
        <f t="shared" si="0"/>
        <v>45520</v>
      </c>
    </row>
    <row r="235" spans="2:5" ht="14.5">
      <c r="B235" s="21">
        <v>45520</v>
      </c>
      <c r="C235" s="6">
        <v>-499</v>
      </c>
      <c r="D235" s="6">
        <f ca="1">IFERROR(__xludf.DUMMYFUNCTION("-(SUM($C$4:C235))"),12638.7399999999)</f>
        <v>12638.7399999999</v>
      </c>
      <c r="E235" s="7">
        <f t="shared" si="0"/>
        <v>45520</v>
      </c>
    </row>
    <row r="236" spans="2:5" ht="14.5">
      <c r="B236" s="21">
        <v>45520</v>
      </c>
      <c r="C236" s="6">
        <v>-499</v>
      </c>
      <c r="D236" s="6">
        <f ca="1">IFERROR(__xludf.DUMMYFUNCTION("-(SUM($C$4:C236))"),13137.7399999999)</f>
        <v>13137.7399999999</v>
      </c>
      <c r="E236" s="7">
        <f t="shared" si="0"/>
        <v>45520</v>
      </c>
    </row>
    <row r="237" spans="2:5" ht="12.5">
      <c r="B237" s="7">
        <v>45520</v>
      </c>
      <c r="C237" s="6">
        <v>-499</v>
      </c>
      <c r="D237" s="6">
        <f ca="1">IFERROR(__xludf.DUMMYFUNCTION("-(SUM($C$4:C237))"),13636.7399999999)</f>
        <v>13636.7399999999</v>
      </c>
      <c r="E237" s="7">
        <f t="shared" si="0"/>
        <v>45520</v>
      </c>
    </row>
    <row r="238" spans="2:5" ht="12.5">
      <c r="B238" s="7">
        <v>45523</v>
      </c>
      <c r="C238" s="6">
        <v>-5269.77</v>
      </c>
      <c r="D238" s="6">
        <f ca="1">IFERROR(__xludf.DUMMYFUNCTION("-(SUM($C$4:C238))"),18906.5099999999)</f>
        <v>18906.5099999999</v>
      </c>
      <c r="E238" s="7">
        <f t="shared" si="0"/>
        <v>45523</v>
      </c>
    </row>
    <row r="239" spans="2:5" ht="12.5">
      <c r="B239" s="7">
        <v>45527</v>
      </c>
      <c r="C239" s="6">
        <v>-7299</v>
      </c>
      <c r="D239" s="6">
        <f ca="1">IFERROR(__xludf.DUMMYFUNCTION("-(SUM($C$4:C239))"),26205.5099999999)</f>
        <v>26205.5099999999</v>
      </c>
      <c r="E239" s="7">
        <f t="shared" si="0"/>
        <v>45527</v>
      </c>
    </row>
    <row r="240" spans="2:5" ht="14.5">
      <c r="B240" s="21">
        <v>45527</v>
      </c>
      <c r="C240" s="6">
        <v>-7299</v>
      </c>
      <c r="D240" s="6">
        <f ca="1">IFERROR(__xludf.DUMMYFUNCTION("-(SUM($C$4:C240))"),33504.5099999999)</f>
        <v>33504.5099999999</v>
      </c>
      <c r="E240" s="7">
        <f t="shared" si="0"/>
        <v>45527</v>
      </c>
    </row>
    <row r="241" spans="2:5" ht="12.5">
      <c r="B241" s="7">
        <v>45551</v>
      </c>
      <c r="C241" s="6">
        <v>-499</v>
      </c>
      <c r="D241" s="6">
        <f ca="1">IFERROR(__xludf.DUMMYFUNCTION("-(SUM($C$4:C241))"),34003.5099999999)</f>
        <v>34003.5099999999</v>
      </c>
      <c r="E241" s="7">
        <f t="shared" si="0"/>
        <v>45551</v>
      </c>
    </row>
    <row r="242" spans="2:5" ht="12.5">
      <c r="B242" s="7">
        <v>45551</v>
      </c>
      <c r="C242" s="6">
        <v>-499</v>
      </c>
      <c r="D242" s="6">
        <f ca="1">IFERROR(__xludf.DUMMYFUNCTION("-(SUM($C$4:C242))"),34502.5099999999)</f>
        <v>34502.5099999999</v>
      </c>
      <c r="E242" s="7">
        <f t="shared" si="0"/>
        <v>45551</v>
      </c>
    </row>
    <row r="243" spans="2:5" ht="12.5">
      <c r="B243" s="7">
        <v>45551</v>
      </c>
      <c r="C243" s="6">
        <v>-499</v>
      </c>
      <c r="D243" s="6">
        <f ca="1">IFERROR(__xludf.DUMMYFUNCTION("-(SUM($C$4:C243))"),35001.5099999999)</f>
        <v>35001.5099999999</v>
      </c>
      <c r="E243" s="7">
        <f t="shared" si="0"/>
        <v>45551</v>
      </c>
    </row>
    <row r="244" spans="2:5" ht="12.5">
      <c r="B244" s="7">
        <v>45551</v>
      </c>
      <c r="C244" s="6">
        <v>-499</v>
      </c>
      <c r="D244" s="6">
        <f ca="1">IFERROR(__xludf.DUMMYFUNCTION("-(SUM($C$4:C244))"),35500.5099999999)</f>
        <v>35500.5099999999</v>
      </c>
      <c r="E244" s="7">
        <f t="shared" si="0"/>
        <v>45551</v>
      </c>
    </row>
    <row r="245" spans="2:5" ht="12.5">
      <c r="B245" s="7">
        <v>45581</v>
      </c>
      <c r="C245" s="6">
        <v>-499</v>
      </c>
      <c r="D245" s="6">
        <f ca="1">IFERROR(__xludf.DUMMYFUNCTION("-(SUM($C$4:C245))"),35999.5099999999)</f>
        <v>35999.5099999999</v>
      </c>
      <c r="E245" s="7">
        <f t="shared" si="0"/>
        <v>45581</v>
      </c>
    </row>
    <row r="246" spans="2:5" ht="12.5">
      <c r="B246" s="7">
        <v>45581</v>
      </c>
      <c r="C246" s="6">
        <v>-499</v>
      </c>
      <c r="D246" s="6">
        <f ca="1">IFERROR(__xludf.DUMMYFUNCTION("-(SUM($C$4:C246))"),36498.5099999999)</f>
        <v>36498.5099999999</v>
      </c>
      <c r="E246" s="7">
        <f t="shared" si="0"/>
        <v>45581</v>
      </c>
    </row>
    <row r="247" spans="2:5" ht="12.5">
      <c r="B247" s="7">
        <v>45581</v>
      </c>
      <c r="C247" s="6">
        <v>-499</v>
      </c>
      <c r="D247" s="6">
        <f ca="1">IFERROR(__xludf.DUMMYFUNCTION("-(SUM($C$4:C247))"),36997.5099999999)</f>
        <v>36997.5099999999</v>
      </c>
      <c r="E247" s="7">
        <f t="shared" si="0"/>
        <v>45581</v>
      </c>
    </row>
    <row r="248" spans="2:5" ht="12.5">
      <c r="B248" s="7">
        <v>45581</v>
      </c>
      <c r="C248" s="6">
        <v>-499</v>
      </c>
      <c r="D248" s="6">
        <f ca="1">IFERROR(__xludf.DUMMYFUNCTION("-(SUM($C$4:C248))"),37496.5099999999)</f>
        <v>37496.5099999999</v>
      </c>
      <c r="E248" s="7">
        <f t="shared" si="0"/>
        <v>45581</v>
      </c>
    </row>
    <row r="249" spans="2:5" ht="12.5">
      <c r="B249" s="7">
        <v>45593</v>
      </c>
      <c r="C249" s="17">
        <v>9346</v>
      </c>
      <c r="D249" s="6">
        <f ca="1">IFERROR(__xludf.DUMMYFUNCTION("-(SUM($C$4:C249))"),28150.5099999999)</f>
        <v>28150.5099999999</v>
      </c>
      <c r="E249" s="7">
        <f t="shared" si="0"/>
        <v>45593</v>
      </c>
    </row>
    <row r="250" spans="2:5" ht="12.5">
      <c r="B250" s="7">
        <v>45596</v>
      </c>
      <c r="C250" s="6">
        <v>-1999</v>
      </c>
      <c r="D250" s="6">
        <f ca="1">IFERROR(__xludf.DUMMYFUNCTION("-(SUM($C$4:C250))"),30149.5099999999)</f>
        <v>30149.5099999999</v>
      </c>
      <c r="E250" s="7">
        <f t="shared" si="0"/>
        <v>45596</v>
      </c>
    </row>
    <row r="251" spans="2:5" ht="12.5">
      <c r="B251" s="7">
        <v>45596</v>
      </c>
      <c r="C251" s="6">
        <v>-2799</v>
      </c>
      <c r="D251" s="6">
        <f ca="1">IFERROR(__xludf.DUMMYFUNCTION("-(SUM($C$4:C251))"),32948.5099999999)</f>
        <v>32948.5099999999</v>
      </c>
      <c r="E251" s="7">
        <f t="shared" si="0"/>
        <v>45596</v>
      </c>
    </row>
    <row r="252" spans="2:5" ht="12.5">
      <c r="B252" s="7">
        <v>45614</v>
      </c>
      <c r="C252" s="6">
        <v>-499</v>
      </c>
      <c r="D252" s="6">
        <f ca="1">IFERROR(__xludf.DUMMYFUNCTION("-(SUM($C$4:C252))"),33447.5099999999)</f>
        <v>33447.5099999999</v>
      </c>
      <c r="E252" s="7">
        <f t="shared" si="0"/>
        <v>45614</v>
      </c>
    </row>
    <row r="253" spans="2:5" ht="12.5">
      <c r="B253" s="7">
        <v>45614</v>
      </c>
      <c r="C253" s="6">
        <v>-499</v>
      </c>
      <c r="D253" s="6">
        <f ca="1">IFERROR(__xludf.DUMMYFUNCTION("-(SUM($C$4:C253))"),33946.5099999999)</f>
        <v>33946.5099999999</v>
      </c>
      <c r="E253" s="7">
        <f t="shared" si="0"/>
        <v>45614</v>
      </c>
    </row>
    <row r="254" spans="2:5" ht="12.5">
      <c r="B254" s="7">
        <v>45614</v>
      </c>
      <c r="C254" s="6">
        <v>-499</v>
      </c>
      <c r="D254" s="6">
        <f ca="1">IFERROR(__xludf.DUMMYFUNCTION("-(SUM($C$4:C254))"),34445.5099999999)</f>
        <v>34445.5099999999</v>
      </c>
      <c r="E254" s="7">
        <f t="shared" si="0"/>
        <v>45614</v>
      </c>
    </row>
    <row r="255" spans="2:5" ht="12.5">
      <c r="B255" s="7">
        <v>45614</v>
      </c>
      <c r="C255" s="6">
        <v>-499</v>
      </c>
      <c r="D255" s="6">
        <f ca="1">IFERROR(__xludf.DUMMYFUNCTION("-(SUM($C$4:C255))"),34944.5099999999)</f>
        <v>34944.5099999999</v>
      </c>
      <c r="E255" s="7">
        <f t="shared" si="0"/>
        <v>45614</v>
      </c>
    </row>
    <row r="256" spans="2:5" ht="12.5">
      <c r="B256" s="7">
        <v>45642</v>
      </c>
      <c r="C256" s="6">
        <v>-499</v>
      </c>
      <c r="D256" s="6">
        <f ca="1">IFERROR(__xludf.DUMMYFUNCTION("-(SUM($C$4:C256))"),35443.5099999999)</f>
        <v>35443.5099999999</v>
      </c>
      <c r="E256" s="7">
        <f t="shared" si="0"/>
        <v>45642</v>
      </c>
    </row>
    <row r="257" spans="2:5" ht="12.5">
      <c r="B257" s="7">
        <v>45642</v>
      </c>
      <c r="C257" s="6">
        <v>-499</v>
      </c>
      <c r="D257" s="6">
        <f ca="1">IFERROR(__xludf.DUMMYFUNCTION("-(SUM($C$4:C257))"),35942.5099999999)</f>
        <v>35942.5099999999</v>
      </c>
      <c r="E257" s="7">
        <f t="shared" si="0"/>
        <v>45642</v>
      </c>
    </row>
    <row r="258" spans="2:5" ht="12.5">
      <c r="B258" s="7">
        <v>45642</v>
      </c>
      <c r="C258" s="6">
        <v>-499</v>
      </c>
      <c r="D258" s="6">
        <f ca="1">IFERROR(__xludf.DUMMYFUNCTION("-(SUM($C$4:C258))"),36441.5099999999)</f>
        <v>36441.5099999999</v>
      </c>
      <c r="E258" s="7">
        <f t="shared" si="0"/>
        <v>45642</v>
      </c>
    </row>
    <row r="259" spans="2:5" ht="12.5">
      <c r="B259" s="7">
        <v>45642</v>
      </c>
      <c r="C259" s="6">
        <v>-499</v>
      </c>
      <c r="D259" s="6">
        <f ca="1">IFERROR(__xludf.DUMMYFUNCTION("-(SUM($C$4:C259))"),36940.5099999999)</f>
        <v>36940.5099999999</v>
      </c>
      <c r="E259" s="7">
        <f t="shared" ref="E259:E291" si="2">B259</f>
        <v>45642</v>
      </c>
    </row>
    <row r="260" spans="2:5" ht="12.5">
      <c r="B260" s="7">
        <v>45672</v>
      </c>
      <c r="C260" s="6">
        <v>-499</v>
      </c>
      <c r="D260" s="6">
        <f ca="1">IFERROR(__xludf.DUMMYFUNCTION("-(SUM($C$4:C260))"),37439.5099999999)</f>
        <v>37439.5099999999</v>
      </c>
      <c r="E260" s="7">
        <f t="shared" si="2"/>
        <v>45672</v>
      </c>
    </row>
    <row r="261" spans="2:5" ht="12.5">
      <c r="B261" s="7">
        <v>45672</v>
      </c>
      <c r="C261" s="6">
        <v>-499</v>
      </c>
      <c r="D261" s="6">
        <f ca="1">IFERROR(__xludf.DUMMYFUNCTION("-(SUM($C$4:C261))"),37938.5099999999)</f>
        <v>37938.5099999999</v>
      </c>
      <c r="E261" s="7">
        <f t="shared" si="2"/>
        <v>45672</v>
      </c>
    </row>
    <row r="262" spans="2:5" ht="12.5">
      <c r="B262" s="7">
        <v>45672</v>
      </c>
      <c r="C262" s="6">
        <v>-499</v>
      </c>
      <c r="D262" s="6">
        <f ca="1">IFERROR(__xludf.DUMMYFUNCTION("-(SUM($C$4:C262))"),38437.5099999999)</f>
        <v>38437.5099999999</v>
      </c>
      <c r="E262" s="7">
        <f t="shared" si="2"/>
        <v>45672</v>
      </c>
    </row>
    <row r="263" spans="2:5" ht="12.5">
      <c r="B263" s="7">
        <v>45674</v>
      </c>
      <c r="C263" s="6">
        <v>-499</v>
      </c>
      <c r="D263" s="6">
        <f ca="1">IFERROR(__xludf.DUMMYFUNCTION("-(SUM($C$4:C263))"),38936.5099999999)</f>
        <v>38936.5099999999</v>
      </c>
      <c r="E263" s="7">
        <f t="shared" si="2"/>
        <v>45674</v>
      </c>
    </row>
    <row r="264" spans="2:5" ht="12.5">
      <c r="B264" s="7">
        <v>45705</v>
      </c>
      <c r="C264" s="6">
        <v>-499</v>
      </c>
      <c r="D264" s="6">
        <f ca="1">IFERROR(__xludf.DUMMYFUNCTION("-(SUM($C$4:C264))"),39435.5099999999)</f>
        <v>39435.5099999999</v>
      </c>
      <c r="E264" s="7">
        <f t="shared" si="2"/>
        <v>45705</v>
      </c>
    </row>
    <row r="265" spans="2:5" ht="12.5">
      <c r="B265" s="7">
        <v>45705</v>
      </c>
      <c r="C265" s="6">
        <v>-499</v>
      </c>
      <c r="D265" s="6">
        <f ca="1">IFERROR(__xludf.DUMMYFUNCTION("-(SUM($C$4:C265))"),39934.5099999999)</f>
        <v>39934.5099999999</v>
      </c>
      <c r="E265" s="7">
        <f t="shared" si="2"/>
        <v>45705</v>
      </c>
    </row>
    <row r="266" spans="2:5" ht="12.5">
      <c r="B266" s="7">
        <v>45705</v>
      </c>
      <c r="C266" s="6">
        <v>-499</v>
      </c>
      <c r="D266" s="6">
        <f ca="1">IFERROR(__xludf.DUMMYFUNCTION("-(SUM($C$4:C266))"),40433.5099999999)</f>
        <v>40433.5099999999</v>
      </c>
      <c r="E266" s="7">
        <f t="shared" si="2"/>
        <v>45705</v>
      </c>
    </row>
    <row r="267" spans="2:5" ht="12.5">
      <c r="B267" s="7">
        <v>45705</v>
      </c>
      <c r="C267" s="6">
        <v>-499</v>
      </c>
      <c r="D267" s="6">
        <f ca="1">IFERROR(__xludf.DUMMYFUNCTION("-(SUM($C$4:C267))"),40932.5099999999)</f>
        <v>40932.5099999999</v>
      </c>
      <c r="E267" s="7">
        <f t="shared" si="2"/>
        <v>45705</v>
      </c>
    </row>
    <row r="268" spans="2:5" ht="12.5">
      <c r="B268" s="7">
        <v>45733</v>
      </c>
      <c r="C268" s="6">
        <v>-499</v>
      </c>
      <c r="D268" s="6">
        <f ca="1">IFERROR(__xludf.DUMMYFUNCTION("-(SUM($C$4:C268))"),41431.5099999999)</f>
        <v>41431.5099999999</v>
      </c>
      <c r="E268" s="7">
        <f t="shared" si="2"/>
        <v>45733</v>
      </c>
    </row>
    <row r="269" spans="2:5" ht="12.5">
      <c r="B269" s="7">
        <v>45733</v>
      </c>
      <c r="C269" s="6">
        <v>-499</v>
      </c>
      <c r="D269" s="6">
        <f ca="1">IFERROR(__xludf.DUMMYFUNCTION("-(SUM($C$4:C269))"),41930.5099999999)</f>
        <v>41930.5099999999</v>
      </c>
      <c r="E269" s="7">
        <f t="shared" si="2"/>
        <v>45733</v>
      </c>
    </row>
    <row r="270" spans="2:5" ht="12.5">
      <c r="B270" s="7">
        <v>45733</v>
      </c>
      <c r="C270" s="6">
        <v>-499</v>
      </c>
      <c r="D270" s="6">
        <f ca="1">IFERROR(__xludf.DUMMYFUNCTION("-(SUM($C$4:C270))"),42429.5099999999)</f>
        <v>42429.5099999999</v>
      </c>
      <c r="E270" s="7">
        <f t="shared" si="2"/>
        <v>45733</v>
      </c>
    </row>
    <row r="271" spans="2:5" ht="12.5">
      <c r="B271" s="7">
        <v>45733</v>
      </c>
      <c r="C271" s="6">
        <v>-499</v>
      </c>
      <c r="D271" s="6">
        <f ca="1">IFERROR(__xludf.DUMMYFUNCTION("-(SUM($C$4:C271))"),42928.5099999999)</f>
        <v>42928.5099999999</v>
      </c>
      <c r="E271" s="7">
        <f t="shared" si="2"/>
        <v>45733</v>
      </c>
    </row>
    <row r="272" spans="2:5" ht="12.5">
      <c r="B272" s="7">
        <v>45741</v>
      </c>
      <c r="C272" s="6">
        <v>1302.42</v>
      </c>
      <c r="D272" s="6">
        <f ca="1">IFERROR(__xludf.DUMMYFUNCTION("-(SUM($C$4:C272))"),41626.09)</f>
        <v>41626.089999999997</v>
      </c>
      <c r="E272" s="7">
        <f t="shared" si="2"/>
        <v>45741</v>
      </c>
    </row>
    <row r="273" spans="2:5" ht="12.5">
      <c r="B273" s="22">
        <v>45762</v>
      </c>
      <c r="C273" s="6">
        <v>-499</v>
      </c>
      <c r="D273" s="6">
        <f ca="1">IFERROR(__xludf.DUMMYFUNCTION("-(SUM($C$4:C273))"),42125.09)</f>
        <v>42125.09</v>
      </c>
      <c r="E273" s="22">
        <f t="shared" si="2"/>
        <v>45762</v>
      </c>
    </row>
    <row r="274" spans="2:5" ht="12.5">
      <c r="B274" s="22">
        <v>45762</v>
      </c>
      <c r="C274" s="6">
        <v>-499</v>
      </c>
      <c r="D274" s="6">
        <f ca="1">IFERROR(__xludf.DUMMYFUNCTION("-(SUM($C$4:C274))"),42624.09)</f>
        <v>42624.09</v>
      </c>
      <c r="E274" s="22">
        <f t="shared" si="2"/>
        <v>45762</v>
      </c>
    </row>
    <row r="275" spans="2:5" ht="12.5">
      <c r="B275" s="22">
        <v>45762</v>
      </c>
      <c r="C275" s="6">
        <v>-499</v>
      </c>
      <c r="D275" s="6">
        <f ca="1">IFERROR(__xludf.DUMMYFUNCTION("-(SUM($C$4:C275))"),43123.09)</f>
        <v>43123.09</v>
      </c>
      <c r="E275" s="22">
        <f t="shared" si="2"/>
        <v>45762</v>
      </c>
    </row>
    <row r="276" spans="2:5" ht="12.5">
      <c r="B276" s="7">
        <v>45764</v>
      </c>
      <c r="C276" s="6">
        <v>493.44</v>
      </c>
      <c r="D276" s="6">
        <f ca="1">IFERROR(__xludf.DUMMYFUNCTION("-(SUM($C$4:C276))"),42629.6499999999)</f>
        <v>42629.6499999999</v>
      </c>
      <c r="E276" s="7">
        <f t="shared" si="2"/>
        <v>45764</v>
      </c>
    </row>
    <row r="277" spans="2:5" ht="12.5">
      <c r="B277" s="22">
        <v>45792</v>
      </c>
      <c r="C277" s="6">
        <v>-499</v>
      </c>
      <c r="D277" s="6">
        <f ca="1">IFERROR(__xludf.DUMMYFUNCTION("-(SUM($C$4:C277))"),43128.6499999999)</f>
        <v>43128.6499999999</v>
      </c>
      <c r="E277" s="22">
        <f t="shared" si="2"/>
        <v>45792</v>
      </c>
    </row>
    <row r="278" spans="2:5" ht="12.5">
      <c r="B278" s="22">
        <v>45792</v>
      </c>
      <c r="C278" s="6">
        <v>-499</v>
      </c>
      <c r="D278" s="6">
        <f ca="1">IFERROR(__xludf.DUMMYFUNCTION("-(SUM($C$4:C278))"),43627.6499999999)</f>
        <v>43627.6499999999</v>
      </c>
      <c r="E278" s="22">
        <f t="shared" si="2"/>
        <v>45792</v>
      </c>
    </row>
    <row r="279" spans="2:5" ht="12.5">
      <c r="B279" s="22">
        <v>45792</v>
      </c>
      <c r="C279" s="6">
        <v>-499</v>
      </c>
      <c r="D279" s="6">
        <f ca="1">IFERROR(__xludf.DUMMYFUNCTION("-(SUM($C$4:C279))"),44126.6499999999)</f>
        <v>44126.6499999999</v>
      </c>
      <c r="E279" s="22">
        <f t="shared" si="2"/>
        <v>45792</v>
      </c>
    </row>
    <row r="280" spans="2:5" ht="12.5">
      <c r="B280" s="22">
        <v>45817</v>
      </c>
      <c r="C280" s="17">
        <v>1014</v>
      </c>
      <c r="D280" s="6">
        <f ca="1">IFERROR(__xludf.DUMMYFUNCTION("-(SUM($C$4:C280))"),43112.6499999999)</f>
        <v>43112.6499999999</v>
      </c>
      <c r="E280" s="22">
        <f t="shared" si="2"/>
        <v>45817</v>
      </c>
    </row>
    <row r="281" spans="2:5" ht="12.5">
      <c r="B281" s="7">
        <v>45817</v>
      </c>
      <c r="C281" s="6">
        <v>1454.24</v>
      </c>
      <c r="D281" s="6">
        <f ca="1">IFERROR(__xludf.DUMMYFUNCTION("-(SUM($C$4:C281))"),41658.4099999999)</f>
        <v>41658.409999999902</v>
      </c>
      <c r="E281" s="7">
        <f t="shared" si="2"/>
        <v>45817</v>
      </c>
    </row>
    <row r="282" spans="2:5" ht="12.5">
      <c r="B282" s="22">
        <v>45824</v>
      </c>
      <c r="C282" s="6">
        <v>-499</v>
      </c>
      <c r="D282" s="6">
        <f ca="1">IFERROR(__xludf.DUMMYFUNCTION("-(SUM($C$4:C282))"),42157.4099999999)</f>
        <v>42157.409999999902</v>
      </c>
      <c r="E282" s="22">
        <f t="shared" si="2"/>
        <v>45824</v>
      </c>
    </row>
    <row r="283" spans="2:5" ht="12.5">
      <c r="B283" s="22">
        <v>45824</v>
      </c>
      <c r="C283" s="6">
        <v>-499</v>
      </c>
      <c r="D283" s="6">
        <f ca="1">IFERROR(__xludf.DUMMYFUNCTION("-(SUM($C$4:C283))"),42656.4099999999)</f>
        <v>42656.409999999902</v>
      </c>
      <c r="E283" s="22">
        <f t="shared" si="2"/>
        <v>45824</v>
      </c>
    </row>
    <row r="284" spans="2:5" ht="12.5">
      <c r="B284" s="22">
        <v>45824</v>
      </c>
      <c r="C284" s="6">
        <v>-499</v>
      </c>
      <c r="D284" s="6">
        <f ca="1">IFERROR(__xludf.DUMMYFUNCTION("-(SUM($C$4:C284))"),43155.4099999999)</f>
        <v>43155.409999999902</v>
      </c>
      <c r="E284" s="22">
        <f t="shared" si="2"/>
        <v>45824</v>
      </c>
    </row>
    <row r="285" spans="2:5" ht="12.5">
      <c r="B285" s="7">
        <v>45825</v>
      </c>
      <c r="C285" s="6">
        <v>545.37</v>
      </c>
      <c r="D285" s="6">
        <f ca="1">IFERROR(__xludf.DUMMYFUNCTION("-(SUM($C$4:C285))"),42610.0399999999)</f>
        <v>42610.039999999899</v>
      </c>
      <c r="E285" s="7">
        <f t="shared" si="2"/>
        <v>45825</v>
      </c>
    </row>
    <row r="286" spans="2:5" ht="12.5">
      <c r="B286" s="22">
        <v>45853</v>
      </c>
      <c r="C286" s="6">
        <v>-499</v>
      </c>
      <c r="D286" s="6">
        <f ca="1">IFERROR(__xludf.DUMMYFUNCTION("-(SUM($C$4:C286))"),43109.0399999999)</f>
        <v>43109.039999999899</v>
      </c>
      <c r="E286" s="22">
        <f t="shared" si="2"/>
        <v>45853</v>
      </c>
    </row>
    <row r="287" spans="2:5" ht="12.5">
      <c r="B287" s="22">
        <v>45853</v>
      </c>
      <c r="C287" s="6">
        <v>-499</v>
      </c>
      <c r="D287" s="6">
        <f ca="1">IFERROR(__xludf.DUMMYFUNCTION("-(SUM($C$4:C287))"),43608.0399999999)</f>
        <v>43608.039999999899</v>
      </c>
      <c r="E287" s="22">
        <f t="shared" si="2"/>
        <v>45853</v>
      </c>
    </row>
    <row r="288" spans="2:5" ht="12.5">
      <c r="B288" s="22">
        <v>45853</v>
      </c>
      <c r="C288" s="6">
        <v>-499</v>
      </c>
      <c r="D288" s="6">
        <f ca="1">IFERROR(__xludf.DUMMYFUNCTION("-(SUM($C$4:C288))"),44107.0399999999)</f>
        <v>44107.039999999899</v>
      </c>
      <c r="E288" s="22">
        <f t="shared" si="2"/>
        <v>45853</v>
      </c>
    </row>
    <row r="289" spans="2:5" ht="12.5">
      <c r="B289" s="7">
        <v>45854</v>
      </c>
      <c r="C289" s="6">
        <v>577.65</v>
      </c>
      <c r="D289" s="6">
        <f ca="1">IFERROR(__xludf.DUMMYFUNCTION("-(SUM($C$4:C289))"),43529.3899999999)</f>
        <v>43529.389999999898</v>
      </c>
      <c r="E289" s="7">
        <f t="shared" si="2"/>
        <v>45854</v>
      </c>
    </row>
    <row r="290" spans="2:5" ht="14.5">
      <c r="B290" s="23">
        <f t="shared" ref="B290:B291" ca="1" si="3">TODAY()</f>
        <v>45862</v>
      </c>
      <c r="C290" s="24">
        <f ca="1">'Stocks Transaction'!B68</f>
        <v>23447.969999999998</v>
      </c>
      <c r="D290" s="6">
        <f ca="1">IFERROR(__xludf.DUMMYFUNCTION("-(SUM($C$4:C290))"),20081.4199999999)</f>
        <v>20081.4199999999</v>
      </c>
      <c r="E290" s="7">
        <f t="shared" ca="1" si="2"/>
        <v>45862</v>
      </c>
    </row>
    <row r="291" spans="2:5" ht="14.5">
      <c r="B291" s="25">
        <f t="shared" ca="1" si="3"/>
        <v>45862</v>
      </c>
      <c r="C291" s="26">
        <f ca="1">'MF holdings and transactions'!G282</f>
        <v>60968.395880000004</v>
      </c>
      <c r="D291" s="6">
        <f ca="1">IFERROR(__xludf.DUMMYFUNCTION("-(SUM($C$4:C291))"),-40886.97588)</f>
        <v>-40886.975879999998</v>
      </c>
      <c r="E291" s="7">
        <f t="shared" ca="1" si="2"/>
        <v>45862</v>
      </c>
    </row>
    <row r="292" spans="2:5" ht="12.5">
      <c r="B292" s="7"/>
    </row>
    <row r="293" spans="2:5" ht="14.5">
      <c r="B293" s="27" t="s">
        <v>21</v>
      </c>
      <c r="C293" s="28">
        <f ca="1">XIRR(C4:C291,B4:B291)</f>
        <v>0.19157734513282773</v>
      </c>
    </row>
    <row r="294" spans="2:5" ht="12.5">
      <c r="D294" s="7"/>
    </row>
    <row r="295" spans="2:5" ht="12.5">
      <c r="D295" s="7"/>
    </row>
    <row r="296" spans="2:5" ht="12.5">
      <c r="D296" s="7"/>
    </row>
    <row r="297" spans="2:5" ht="12.5">
      <c r="D297" s="7"/>
    </row>
    <row r="298" spans="2:5" ht="12.5">
      <c r="D298" s="7"/>
    </row>
    <row r="299" spans="2:5" ht="12.5">
      <c r="D299" s="7"/>
    </row>
    <row r="300" spans="2:5" ht="12.5">
      <c r="D300" s="7"/>
    </row>
  </sheetData>
  <autoFilter ref="B3:C291" xr:uid="{00000000-0009-0000-0000-000000000000}">
    <sortState xmlns:xlrd2="http://schemas.microsoft.com/office/spreadsheetml/2017/richdata2" ref="B3:C291">
      <sortCondition ref="B3:B291"/>
    </sortState>
  </autoFilter>
  <mergeCells count="3">
    <mergeCell ref="B2:C2"/>
    <mergeCell ref="D3:E3"/>
    <mergeCell ref="G48:I48"/>
  </mergeCells>
  <conditionalFormatting sqref="H8:H9">
    <cfRule type="cellIs" dxfId="11" priority="1" operator="greaterThan">
      <formula>0</formula>
    </cfRule>
    <cfRule type="cellIs" dxfId="10" priority="2" operator="lessThanOr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39"/>
  <sheetViews>
    <sheetView topLeftCell="A102" workbookViewId="0">
      <selection activeCell="B110" sqref="B110"/>
    </sheetView>
  </sheetViews>
  <sheetFormatPr defaultColWidth="12.6328125" defaultRowHeight="15.75" customHeight="1"/>
  <cols>
    <col min="1" max="1" width="51.36328125" customWidth="1"/>
    <col min="2" max="2" width="34.90625" customWidth="1"/>
    <col min="3" max="3" width="23.7265625" customWidth="1"/>
    <col min="9" max="9" width="13.90625" customWidth="1"/>
    <col min="13" max="13" width="12.453125" customWidth="1"/>
    <col min="14" max="14" width="3.90625" customWidth="1"/>
    <col min="19" max="19" width="3.7265625" customWidth="1"/>
    <col min="21" max="21" width="21.6328125" customWidth="1"/>
    <col min="22" max="22" width="21.08984375" customWidth="1"/>
    <col min="23" max="23" width="19.453125" customWidth="1"/>
    <col min="25" max="25" width="17.08984375" customWidth="1"/>
  </cols>
  <sheetData>
    <row r="1" spans="1:26" ht="14.5">
      <c r="A1" s="20"/>
      <c r="B1" s="29"/>
      <c r="C1" s="20"/>
      <c r="D1" s="20"/>
      <c r="E1" s="20"/>
      <c r="F1" s="20"/>
      <c r="L1" s="7"/>
      <c r="N1" s="30"/>
      <c r="S1" s="30"/>
    </row>
    <row r="2" spans="1:26" ht="14.5">
      <c r="A2" s="20"/>
      <c r="B2" s="29"/>
      <c r="C2" s="20"/>
      <c r="D2" s="20"/>
      <c r="E2" s="20"/>
      <c r="F2" s="20"/>
      <c r="L2" s="7"/>
      <c r="N2" s="30"/>
      <c r="S2" s="30"/>
    </row>
    <row r="3" spans="1:26" ht="18.5">
      <c r="A3" s="31" t="s">
        <v>22</v>
      </c>
      <c r="B3" s="29"/>
      <c r="C3" s="20"/>
      <c r="D3" s="20"/>
      <c r="E3" s="20"/>
      <c r="F3" s="20"/>
      <c r="L3" s="7"/>
      <c r="N3" s="30"/>
      <c r="S3" s="30"/>
    </row>
    <row r="4" spans="1:26" ht="14.5">
      <c r="A4" s="32" t="s">
        <v>23</v>
      </c>
      <c r="B4" s="33"/>
      <c r="C4" s="20"/>
      <c r="D4" s="20"/>
      <c r="E4" s="20"/>
      <c r="F4" s="20"/>
      <c r="L4" s="7"/>
      <c r="N4" s="30"/>
      <c r="S4" s="30"/>
    </row>
    <row r="5" spans="1:26" ht="14.5">
      <c r="A5" s="34" t="s">
        <v>24</v>
      </c>
      <c r="B5" s="35"/>
      <c r="C5" s="20"/>
      <c r="D5" s="20"/>
      <c r="E5" s="20"/>
      <c r="F5" s="20"/>
      <c r="L5" s="7"/>
      <c r="N5" s="30"/>
      <c r="S5" s="30"/>
    </row>
    <row r="6" spans="1:26" ht="14.5">
      <c r="A6" s="34" t="s">
        <v>25</v>
      </c>
      <c r="B6" s="35"/>
      <c r="C6" s="20"/>
      <c r="D6" s="20"/>
      <c r="E6" s="20"/>
      <c r="F6" s="20"/>
      <c r="L6" s="7"/>
      <c r="N6" s="30"/>
      <c r="S6" s="30"/>
    </row>
    <row r="7" spans="1:26" ht="14.5">
      <c r="A7" s="20"/>
      <c r="B7" s="29"/>
      <c r="C7" s="20"/>
      <c r="D7" s="20"/>
      <c r="E7" s="20"/>
      <c r="F7" s="20"/>
      <c r="L7" s="7"/>
      <c r="N7" s="30"/>
      <c r="S7" s="30"/>
    </row>
    <row r="8" spans="1:26" ht="14.5">
      <c r="A8" s="20"/>
      <c r="B8" s="29"/>
      <c r="C8" s="20"/>
      <c r="D8" s="20"/>
      <c r="E8" s="20"/>
      <c r="F8" s="20"/>
      <c r="L8" s="7"/>
      <c r="N8" s="30"/>
      <c r="S8" s="30"/>
    </row>
    <row r="9" spans="1:26" ht="14.5">
      <c r="A9" s="20"/>
      <c r="B9" s="36" t="s">
        <v>26</v>
      </c>
      <c r="C9" s="20"/>
      <c r="D9" s="20"/>
      <c r="E9" s="20"/>
      <c r="F9" s="20"/>
      <c r="L9" s="7"/>
      <c r="N9" s="30"/>
      <c r="S9" s="30"/>
      <c r="U9" s="6"/>
      <c r="V9" s="6"/>
    </row>
    <row r="10" spans="1:26" ht="18.5">
      <c r="A10" s="31" t="s">
        <v>27</v>
      </c>
      <c r="B10" s="37">
        <f ca="1">TODAY()</f>
        <v>45862</v>
      </c>
      <c r="C10" s="20"/>
      <c r="E10" s="20"/>
      <c r="F10" s="20"/>
      <c r="L10" s="7"/>
      <c r="N10" s="30"/>
      <c r="S10" s="30"/>
    </row>
    <row r="11" spans="1:26" ht="14.5">
      <c r="A11" s="20"/>
      <c r="B11" s="29"/>
      <c r="C11" s="20"/>
      <c r="D11" s="20"/>
      <c r="E11" s="20"/>
      <c r="F11" s="20"/>
      <c r="N11" s="30"/>
      <c r="O11" s="38"/>
      <c r="P11" s="127" t="s">
        <v>28</v>
      </c>
      <c r="Q11" s="124"/>
      <c r="R11" s="38"/>
      <c r="S11" s="39"/>
      <c r="T11" s="6"/>
    </row>
    <row r="12" spans="1:26" ht="14.5">
      <c r="A12" s="4" t="s">
        <v>29</v>
      </c>
      <c r="B12" s="40" t="s">
        <v>30</v>
      </c>
      <c r="C12" s="27" t="s">
        <v>31</v>
      </c>
      <c r="D12" s="27" t="s">
        <v>32</v>
      </c>
      <c r="E12" s="27" t="s">
        <v>33</v>
      </c>
      <c r="F12" s="27" t="s">
        <v>34</v>
      </c>
      <c r="G12" s="27" t="s">
        <v>35</v>
      </c>
      <c r="H12" s="9" t="str">
        <f ca="1">"2000 SIP Going (" &amp; IF(DAY(TODAY()) &gt; 17, DATEDIF(DATE(2024, 1, 1), TODAY(), "M") + 1, DATEDIF(DATE(2024, 1, 1), TODAY(), "M")) &amp; ")"</f>
        <v>2000 SIP Going (19)</v>
      </c>
      <c r="N12" s="30"/>
      <c r="P12" s="4" t="s">
        <v>2</v>
      </c>
      <c r="Q12" s="4" t="s">
        <v>3</v>
      </c>
      <c r="S12" s="30"/>
      <c r="W12" s="6"/>
    </row>
    <row r="13" spans="1:26" ht="14.5">
      <c r="A13" s="20"/>
      <c r="B13" s="29"/>
      <c r="C13" s="20"/>
      <c r="D13" s="20"/>
      <c r="E13" s="41"/>
      <c r="F13" s="42"/>
      <c r="N13" s="30"/>
      <c r="P13" s="7"/>
      <c r="S13" s="30"/>
      <c r="W13" s="6"/>
      <c r="X13" s="20"/>
      <c r="Y13" s="41"/>
      <c r="Z13" s="42"/>
    </row>
    <row r="14" spans="1:26" ht="14.5">
      <c r="A14" s="43" t="s">
        <v>36</v>
      </c>
      <c r="B14" s="29" t="s">
        <v>37</v>
      </c>
      <c r="C14" s="20">
        <v>23.18</v>
      </c>
      <c r="D14" s="20">
        <v>21.57</v>
      </c>
      <c r="E14" s="41">
        <v>499</v>
      </c>
      <c r="F14" s="42">
        <v>45853</v>
      </c>
      <c r="G14" s="6">
        <f ca="1">IFERROR(__xludf.DUMMYFUNCTION("IF(E14="""", """", IF(OR(B14=""PURCHASE"", B14=""SWITCH PURCHASE""), E14*-1, E14))
"),-499)</f>
        <v>-499</v>
      </c>
      <c r="N14" s="30"/>
      <c r="P14" s="22">
        <v>45853</v>
      </c>
      <c r="Q14" s="6">
        <v>-499</v>
      </c>
      <c r="S14" s="30"/>
      <c r="W14" s="6"/>
      <c r="X14" s="20"/>
      <c r="Y14" s="41"/>
      <c r="Z14" s="42"/>
    </row>
    <row r="15" spans="1:26" ht="14.5">
      <c r="A15" s="43" t="s">
        <v>38</v>
      </c>
      <c r="B15" s="29" t="s">
        <v>37</v>
      </c>
      <c r="C15" s="20">
        <v>19.73</v>
      </c>
      <c r="D15" s="20">
        <v>25.35</v>
      </c>
      <c r="E15" s="41">
        <v>499</v>
      </c>
      <c r="F15" s="42">
        <v>45853</v>
      </c>
      <c r="G15" s="6">
        <f ca="1">IFERROR(__xludf.DUMMYFUNCTION("IF(E15="""", """", IF(OR(B15=""PURCHASE"", B15=""SWITCH PURCHASE""), E15*-1, E15))
"),-499)</f>
        <v>-499</v>
      </c>
      <c r="N15" s="30"/>
      <c r="P15" s="22">
        <v>45853</v>
      </c>
      <c r="Q15" s="6">
        <v>-499</v>
      </c>
      <c r="S15" s="30"/>
      <c r="W15" s="6"/>
      <c r="X15" s="20"/>
      <c r="Y15" s="41"/>
      <c r="Z15" s="42"/>
    </row>
    <row r="16" spans="1:26" ht="14.5">
      <c r="A16" s="43" t="s">
        <v>39</v>
      </c>
      <c r="B16" s="29" t="s">
        <v>37</v>
      </c>
      <c r="C16" s="20">
        <v>15.02</v>
      </c>
      <c r="D16" s="20">
        <v>33.29</v>
      </c>
      <c r="E16" s="41">
        <v>499</v>
      </c>
      <c r="F16" s="42">
        <v>45853</v>
      </c>
      <c r="G16" s="6">
        <f ca="1">IFERROR(__xludf.DUMMYFUNCTION("IF(E16="""", """", IF(OR(B16=""PURCHASE"", B16=""SWITCH PURCHASE""), E16*-1, E16))
"),-499)</f>
        <v>-499</v>
      </c>
      <c r="N16" s="30"/>
      <c r="P16" s="22">
        <v>45853</v>
      </c>
      <c r="Q16" s="6">
        <v>-499</v>
      </c>
      <c r="S16" s="30"/>
      <c r="W16" s="6"/>
      <c r="X16" s="20"/>
      <c r="Y16" s="41"/>
      <c r="Z16" s="42"/>
    </row>
    <row r="17" spans="1:26" ht="14.5">
      <c r="A17" s="43" t="s">
        <v>36</v>
      </c>
      <c r="B17" s="29" t="s">
        <v>37</v>
      </c>
      <c r="C17" s="20">
        <v>23</v>
      </c>
      <c r="D17" s="20">
        <v>21.74</v>
      </c>
      <c r="E17" s="41">
        <v>499</v>
      </c>
      <c r="F17" s="42">
        <v>45824</v>
      </c>
      <c r="G17" s="6">
        <f ca="1">IFERROR(__xludf.DUMMYFUNCTION("IF(E17="""", """", IF(OR(B17=""PURCHASE"", B17=""SWITCH PURCHASE""), E17*-1, E17))
"),-499)</f>
        <v>-499</v>
      </c>
      <c r="N17" s="30"/>
      <c r="P17" s="22">
        <v>45824</v>
      </c>
      <c r="Q17" s="6">
        <v>-499</v>
      </c>
      <c r="S17" s="30"/>
      <c r="W17" s="6"/>
      <c r="X17" s="20"/>
      <c r="Y17" s="41"/>
      <c r="Z17" s="42"/>
    </row>
    <row r="18" spans="1:26" ht="14.5">
      <c r="A18" s="43" t="s">
        <v>38</v>
      </c>
      <c r="B18" s="29" t="s">
        <v>37</v>
      </c>
      <c r="C18" s="20">
        <v>20.079999999999998</v>
      </c>
      <c r="D18" s="20">
        <v>24.9</v>
      </c>
      <c r="E18" s="41">
        <v>499</v>
      </c>
      <c r="F18" s="42">
        <v>45824</v>
      </c>
      <c r="G18" s="6">
        <f ca="1">IFERROR(__xludf.DUMMYFUNCTION("IF(E18="""", """", IF(OR(B18=""PURCHASE"", B18=""SWITCH PURCHASE""), E18*-1, E18))
"),-499)</f>
        <v>-499</v>
      </c>
      <c r="N18" s="30"/>
      <c r="P18" s="22">
        <v>45824</v>
      </c>
      <c r="Q18" s="6">
        <v>-499</v>
      </c>
      <c r="S18" s="30"/>
      <c r="W18" s="6"/>
      <c r="X18" s="20"/>
      <c r="Y18" s="41"/>
      <c r="Z18" s="42"/>
    </row>
    <row r="19" spans="1:26" ht="14.5">
      <c r="A19" s="43" t="s">
        <v>39</v>
      </c>
      <c r="B19" s="29" t="s">
        <v>37</v>
      </c>
      <c r="C19" s="20">
        <v>15.11</v>
      </c>
      <c r="D19" s="20">
        <v>33.090000000000003</v>
      </c>
      <c r="E19" s="41">
        <v>499</v>
      </c>
      <c r="F19" s="42">
        <v>45824</v>
      </c>
      <c r="G19" s="6">
        <f ca="1">IFERROR(__xludf.DUMMYFUNCTION("IF(E19="""", """", IF(OR(B19=""PURCHASE"", B19=""SWITCH PURCHASE""), E19*-1, E19))
"),-499)</f>
        <v>-499</v>
      </c>
      <c r="N19" s="30"/>
      <c r="P19" s="22">
        <v>45824</v>
      </c>
      <c r="Q19" s="6">
        <v>-499</v>
      </c>
      <c r="S19" s="30"/>
      <c r="W19" s="6"/>
      <c r="X19" s="20"/>
      <c r="Y19" s="41"/>
      <c r="Z19" s="42"/>
    </row>
    <row r="20" spans="1:26" ht="14.5">
      <c r="A20" s="43" t="s">
        <v>39</v>
      </c>
      <c r="B20" s="29" t="s">
        <v>40</v>
      </c>
      <c r="C20" s="20">
        <v>30.57</v>
      </c>
      <c r="D20" s="20">
        <v>33.18</v>
      </c>
      <c r="E20" s="41">
        <v>1014</v>
      </c>
      <c r="F20" s="42">
        <v>45817</v>
      </c>
      <c r="G20" s="17">
        <f ca="1">IFERROR(__xludf.DUMMYFUNCTION("IF(E20="""", """", IF(OR(B20=""PURCHASE"", B20=""SWITCH PURCHASE""), E20*-1, E20))
"),1014)</f>
        <v>1014</v>
      </c>
      <c r="N20" s="30"/>
      <c r="P20" s="22">
        <v>45817</v>
      </c>
      <c r="Q20" s="17">
        <v>1014</v>
      </c>
      <c r="S20" s="30"/>
      <c r="W20" s="6"/>
      <c r="X20" s="20"/>
      <c r="Y20" s="41"/>
      <c r="Z20" s="42"/>
    </row>
    <row r="21" spans="1:26" ht="14.5">
      <c r="A21" s="43" t="s">
        <v>39</v>
      </c>
      <c r="B21" s="29" t="s">
        <v>37</v>
      </c>
      <c r="C21" s="20">
        <v>15.21</v>
      </c>
      <c r="D21" s="20">
        <v>32.880000000000003</v>
      </c>
      <c r="E21" s="41">
        <v>499</v>
      </c>
      <c r="F21" s="42">
        <v>45792</v>
      </c>
      <c r="G21" s="6">
        <f ca="1">IFERROR(__xludf.DUMMYFUNCTION("IF(E21="""", """", IF(OR(B21=""PURCHASE"", B21=""SWITCH PURCHASE""), E21*-1, E21))
"),-499)</f>
        <v>-499</v>
      </c>
      <c r="N21" s="30"/>
      <c r="P21" s="22">
        <v>45792</v>
      </c>
      <c r="Q21" s="6">
        <v>-499</v>
      </c>
      <c r="S21" s="30"/>
      <c r="W21" s="6"/>
      <c r="X21" s="20"/>
      <c r="Y21" s="41"/>
      <c r="Z21" s="42"/>
    </row>
    <row r="22" spans="1:26" ht="14.5">
      <c r="A22" s="43" t="s">
        <v>36</v>
      </c>
      <c r="B22" s="29" t="s">
        <v>37</v>
      </c>
      <c r="C22" s="20">
        <v>23.59</v>
      </c>
      <c r="D22" s="20">
        <v>21.19</v>
      </c>
      <c r="E22" s="41">
        <v>499</v>
      </c>
      <c r="F22" s="42">
        <v>45792</v>
      </c>
      <c r="G22" s="6">
        <f ca="1">IFERROR(__xludf.DUMMYFUNCTION("IF(E22="""", """", IF(OR(B22=""PURCHASE"", B22=""SWITCH PURCHASE""), E22*-1, E22))
"),-499)</f>
        <v>-499</v>
      </c>
      <c r="N22" s="30"/>
      <c r="P22" s="22">
        <v>45792</v>
      </c>
      <c r="Q22" s="6">
        <v>-499</v>
      </c>
      <c r="S22" s="30"/>
      <c r="W22" s="6"/>
      <c r="X22" s="20"/>
      <c r="Y22" s="41"/>
      <c r="Z22" s="42"/>
    </row>
    <row r="23" spans="1:26" ht="14.5">
      <c r="A23" s="43" t="s">
        <v>38</v>
      </c>
      <c r="B23" s="29" t="s">
        <v>37</v>
      </c>
      <c r="C23" s="20">
        <v>20.87</v>
      </c>
      <c r="D23" s="20">
        <v>23.96</v>
      </c>
      <c r="E23" s="41">
        <v>499</v>
      </c>
      <c r="F23" s="42">
        <v>45792</v>
      </c>
      <c r="G23" s="6">
        <f ca="1">IFERROR(__xludf.DUMMYFUNCTION("IF(E23="""", """", IF(OR(B23=""PURCHASE"", B23=""SWITCH PURCHASE""), E23*-1, E23))
"),-499)</f>
        <v>-499</v>
      </c>
      <c r="N23" s="30"/>
      <c r="P23" s="22">
        <v>45792</v>
      </c>
      <c r="Q23" s="6">
        <v>-499</v>
      </c>
      <c r="S23" s="30"/>
      <c r="W23" s="6"/>
      <c r="X23" s="20"/>
      <c r="Y23" s="41"/>
      <c r="Z23" s="42"/>
    </row>
    <row r="24" spans="1:26" ht="14.5">
      <c r="A24" s="43" t="s">
        <v>39</v>
      </c>
      <c r="B24" s="29" t="s">
        <v>37</v>
      </c>
      <c r="C24" s="20">
        <v>15.36</v>
      </c>
      <c r="D24" s="20">
        <v>32.549999999999997</v>
      </c>
      <c r="E24" s="41">
        <v>499</v>
      </c>
      <c r="F24" s="42">
        <v>45762</v>
      </c>
      <c r="G24" s="6">
        <f ca="1">IFERROR(__xludf.DUMMYFUNCTION("IF(E24="""", """", IF(OR(B24=""PURCHASE"", B24=""SWITCH PURCHASE""), E24*-1, E24))
"),-499)</f>
        <v>-499</v>
      </c>
      <c r="N24" s="30"/>
      <c r="P24" s="22">
        <v>45762</v>
      </c>
      <c r="Q24" s="6">
        <v>-499</v>
      </c>
      <c r="S24" s="30"/>
      <c r="W24" s="6"/>
      <c r="X24" s="20"/>
      <c r="Y24" s="41"/>
      <c r="Z24" s="42"/>
    </row>
    <row r="25" spans="1:26" ht="14.5">
      <c r="A25" s="43" t="s">
        <v>38</v>
      </c>
      <c r="B25" s="29" t="s">
        <v>37</v>
      </c>
      <c r="C25" s="20">
        <v>22.61</v>
      </c>
      <c r="D25" s="20">
        <v>22.12</v>
      </c>
      <c r="E25" s="41">
        <v>499</v>
      </c>
      <c r="F25" s="42">
        <v>45762</v>
      </c>
      <c r="G25" s="6">
        <f ca="1">IFERROR(__xludf.DUMMYFUNCTION("IF(E25="""", """", IF(OR(B25=""PURCHASE"", B25=""SWITCH PURCHASE""), E25*-1, E25))
"),-499)</f>
        <v>-499</v>
      </c>
      <c r="N25" s="30"/>
      <c r="P25" s="22">
        <v>45762</v>
      </c>
      <c r="Q25" s="6">
        <v>-499</v>
      </c>
      <c r="S25" s="30"/>
      <c r="W25" s="6"/>
      <c r="X25" s="20"/>
      <c r="Y25" s="41"/>
      <c r="Z25" s="42"/>
    </row>
    <row r="26" spans="1:26" ht="14.5">
      <c r="A26" s="43" t="s">
        <v>36</v>
      </c>
      <c r="B26" s="29" t="s">
        <v>37</v>
      </c>
      <c r="C26" s="20">
        <v>26.19</v>
      </c>
      <c r="D26" s="20">
        <v>19.09</v>
      </c>
      <c r="E26" s="41">
        <v>499</v>
      </c>
      <c r="F26" s="42">
        <v>45762</v>
      </c>
      <c r="G26" s="6">
        <f ca="1">IFERROR(__xludf.DUMMYFUNCTION("IF(E26="""", """", IF(OR(B26=""PURCHASE"", B26=""SWITCH PURCHASE""), E26*-1, E26))
"),-499)</f>
        <v>-499</v>
      </c>
      <c r="N26" s="30"/>
      <c r="P26" s="22">
        <v>45762</v>
      </c>
      <c r="Q26" s="6">
        <v>-499</v>
      </c>
      <c r="S26" s="30"/>
      <c r="W26" s="6"/>
      <c r="X26" s="20"/>
      <c r="Y26" s="41"/>
      <c r="Z26" s="42"/>
    </row>
    <row r="27" spans="1:26" ht="14.5">
      <c r="A27" s="43" t="s">
        <v>39</v>
      </c>
      <c r="B27" s="29" t="s">
        <v>37</v>
      </c>
      <c r="C27" s="19">
        <v>15.62</v>
      </c>
      <c r="D27" s="19">
        <v>32.01</v>
      </c>
      <c r="E27" s="44">
        <v>499</v>
      </c>
      <c r="F27" s="42">
        <v>45733</v>
      </c>
      <c r="G27" s="6">
        <f ca="1">IFERROR(__xludf.DUMMYFUNCTION("IF(E27="""", """", IF(OR(B27=""PURCHASE"", B27=""SWITCH PURCHASE""), E27*-1, E27))
"),-499)</f>
        <v>-499</v>
      </c>
      <c r="N27" s="30"/>
      <c r="P27" s="22">
        <v>45733</v>
      </c>
      <c r="Q27" s="6">
        <v>-499</v>
      </c>
      <c r="S27" s="30"/>
      <c r="W27" s="6"/>
      <c r="X27" s="20"/>
      <c r="Y27" s="41"/>
      <c r="Z27" s="42"/>
    </row>
    <row r="28" spans="1:26" ht="14.5">
      <c r="A28" s="43" t="s">
        <v>36</v>
      </c>
      <c r="B28" s="29" t="s">
        <v>37</v>
      </c>
      <c r="C28" s="20">
        <v>26.92</v>
      </c>
      <c r="D28" s="20">
        <v>18.57</v>
      </c>
      <c r="E28" s="41">
        <v>499</v>
      </c>
      <c r="F28" s="42">
        <v>45733</v>
      </c>
      <c r="G28" s="6">
        <f ca="1">IFERROR(__xludf.DUMMYFUNCTION("IF(E28="""", """", IF(OR(B28=""PURCHASE"", B28=""SWITCH PURCHASE""), E28*-1, E28))
"),-499)</f>
        <v>-499</v>
      </c>
      <c r="N28" s="30"/>
      <c r="P28" s="22">
        <v>45733</v>
      </c>
      <c r="Q28" s="6">
        <v>-499</v>
      </c>
      <c r="S28" s="30"/>
      <c r="W28" s="6"/>
      <c r="X28" s="20"/>
      <c r="Y28" s="41"/>
      <c r="Z28" s="42"/>
    </row>
    <row r="29" spans="1:26" ht="14.5">
      <c r="A29" s="43" t="s">
        <v>38</v>
      </c>
      <c r="B29" s="29" t="s">
        <v>37</v>
      </c>
      <c r="C29" s="20">
        <v>24.02</v>
      </c>
      <c r="D29" s="20">
        <v>20.81</v>
      </c>
      <c r="E29" s="41">
        <v>499</v>
      </c>
      <c r="F29" s="42">
        <v>45733</v>
      </c>
      <c r="G29" s="6">
        <f ca="1">IFERROR(__xludf.DUMMYFUNCTION("IF(E29="""", """", IF(OR(B29=""PURCHASE"", B29=""SWITCH PURCHASE""), E29*-1, E29))
"),-499)</f>
        <v>-499</v>
      </c>
      <c r="N29" s="30"/>
      <c r="P29" s="22">
        <v>45733</v>
      </c>
      <c r="Q29" s="6">
        <v>-499</v>
      </c>
      <c r="S29" s="30"/>
      <c r="W29" s="6"/>
      <c r="X29" s="20"/>
      <c r="Y29" s="41"/>
      <c r="Z29" s="42"/>
    </row>
    <row r="30" spans="1:26" ht="14.5">
      <c r="A30" s="43" t="s">
        <v>38</v>
      </c>
      <c r="B30" s="29" t="s">
        <v>37</v>
      </c>
      <c r="C30" s="20">
        <v>24.02</v>
      </c>
      <c r="D30" s="20">
        <v>20.81</v>
      </c>
      <c r="E30" s="41">
        <v>499</v>
      </c>
      <c r="F30" s="42">
        <v>45733</v>
      </c>
      <c r="G30" s="6">
        <f ca="1">IFERROR(__xludf.DUMMYFUNCTION("IF(E30="""", """", IF(OR(B30=""PURCHASE"", B30=""SWITCH PURCHASE""), E30*-1, E30))
"),-499)</f>
        <v>-499</v>
      </c>
      <c r="N30" s="30"/>
      <c r="P30" s="22">
        <v>45733</v>
      </c>
      <c r="Q30" s="6">
        <v>-499</v>
      </c>
      <c r="S30" s="30"/>
      <c r="W30" s="6"/>
      <c r="X30" s="20"/>
      <c r="Y30" s="41"/>
      <c r="Z30" s="42"/>
    </row>
    <row r="31" spans="1:26" ht="14.5">
      <c r="A31" s="43" t="s">
        <v>36</v>
      </c>
      <c r="B31" s="29" t="s">
        <v>37</v>
      </c>
      <c r="C31" s="20">
        <v>25.61</v>
      </c>
      <c r="D31" s="20">
        <v>19.52</v>
      </c>
      <c r="E31" s="41">
        <v>499</v>
      </c>
      <c r="F31" s="42">
        <v>45705</v>
      </c>
      <c r="G31" s="6">
        <f ca="1">IFERROR(__xludf.DUMMYFUNCTION("IF(E31="""", """", IF(OR(B31=""PURCHASE"", B31=""SWITCH PURCHASE""), E31*-1, E31))
"),-499)</f>
        <v>-499</v>
      </c>
      <c r="N31" s="30"/>
      <c r="P31" s="22">
        <v>45705</v>
      </c>
      <c r="Q31" s="6">
        <v>-499</v>
      </c>
      <c r="S31" s="30"/>
      <c r="W31" s="6"/>
      <c r="X31" s="20"/>
      <c r="Y31" s="41"/>
      <c r="Z31" s="42"/>
    </row>
    <row r="32" spans="1:26" ht="14.5">
      <c r="A32" s="43" t="s">
        <v>38</v>
      </c>
      <c r="B32" s="29" t="s">
        <v>37</v>
      </c>
      <c r="C32" s="20">
        <v>23.53</v>
      </c>
      <c r="D32" s="20">
        <v>21.25</v>
      </c>
      <c r="E32" s="41">
        <v>499</v>
      </c>
      <c r="F32" s="42">
        <v>45705</v>
      </c>
      <c r="G32" s="6">
        <f ca="1">IFERROR(__xludf.DUMMYFUNCTION("IF(E32="""", """", IF(OR(B32=""PURCHASE"", B32=""SWITCH PURCHASE""), E32*-1, E32))
"),-499)</f>
        <v>-499</v>
      </c>
      <c r="N32" s="30"/>
      <c r="P32" s="22">
        <v>45705</v>
      </c>
      <c r="Q32" s="6">
        <v>-499</v>
      </c>
      <c r="S32" s="30"/>
      <c r="W32" s="6"/>
      <c r="X32" s="20"/>
      <c r="Y32" s="41"/>
      <c r="Z32" s="42"/>
    </row>
    <row r="33" spans="1:26" ht="14.5">
      <c r="A33" s="43" t="s">
        <v>39</v>
      </c>
      <c r="B33" s="29" t="s">
        <v>37</v>
      </c>
      <c r="C33" s="20">
        <v>15.69</v>
      </c>
      <c r="D33" s="20">
        <v>31.87</v>
      </c>
      <c r="E33" s="41">
        <v>499</v>
      </c>
      <c r="F33" s="42">
        <v>45705</v>
      </c>
      <c r="G33" s="6">
        <f ca="1">IFERROR(__xludf.DUMMYFUNCTION("IF(E33="""", """", IF(OR(B33=""PURCHASE"", B33=""SWITCH PURCHASE""), E33*-1, E33))
"),-499)</f>
        <v>-499</v>
      </c>
      <c r="N33" s="30"/>
      <c r="P33" s="22">
        <v>45705</v>
      </c>
      <c r="Q33" s="6">
        <v>-499</v>
      </c>
      <c r="S33" s="30"/>
      <c r="W33" s="6"/>
      <c r="X33" s="20"/>
      <c r="Y33" s="41"/>
      <c r="Z33" s="42"/>
    </row>
    <row r="34" spans="1:26" ht="14.5">
      <c r="A34" s="43" t="s">
        <v>38</v>
      </c>
      <c r="B34" s="29" t="s">
        <v>37</v>
      </c>
      <c r="C34" s="20">
        <v>23.53</v>
      </c>
      <c r="D34" s="20">
        <v>21.25</v>
      </c>
      <c r="E34" s="41">
        <v>499</v>
      </c>
      <c r="F34" s="42">
        <v>45705</v>
      </c>
      <c r="G34" s="6">
        <f ca="1">IFERROR(__xludf.DUMMYFUNCTION("IF(E34="""", """", IF(OR(B34=""PURCHASE"", B34=""SWITCH PURCHASE""), E34*-1, E34))
"),-499)</f>
        <v>-499</v>
      </c>
      <c r="N34" s="30"/>
      <c r="P34" s="22">
        <v>45705</v>
      </c>
      <c r="Q34" s="6">
        <v>-499</v>
      </c>
      <c r="S34" s="30"/>
      <c r="W34" s="6"/>
      <c r="X34" s="20"/>
      <c r="Y34" s="41"/>
      <c r="Z34" s="42"/>
    </row>
    <row r="35" spans="1:26" ht="14.5">
      <c r="A35" s="43" t="s">
        <v>38</v>
      </c>
      <c r="B35" s="29" t="s">
        <v>37</v>
      </c>
      <c r="C35" s="20">
        <v>21.48</v>
      </c>
      <c r="D35" s="20">
        <v>23.28</v>
      </c>
      <c r="E35" s="41">
        <v>499</v>
      </c>
      <c r="F35" s="42">
        <v>45674</v>
      </c>
      <c r="G35" s="6">
        <f ca="1">IFERROR(__xludf.DUMMYFUNCTION("IF(E35="""", """", IF(OR(B35=""PURCHASE"", B35=""SWITCH PURCHASE""), E35*-1, E35))
"),-499)</f>
        <v>-499</v>
      </c>
      <c r="N35" s="30"/>
      <c r="P35" s="22">
        <v>45674</v>
      </c>
      <c r="Q35" s="6">
        <v>-499</v>
      </c>
      <c r="S35" s="30"/>
      <c r="W35" s="6"/>
      <c r="X35" s="20"/>
      <c r="Y35" s="41"/>
      <c r="Z35" s="42"/>
    </row>
    <row r="36" spans="1:26" ht="14.5">
      <c r="A36" s="43" t="s">
        <v>36</v>
      </c>
      <c r="B36" s="29" t="s">
        <v>37</v>
      </c>
      <c r="C36" s="20">
        <v>23.59</v>
      </c>
      <c r="D36" s="20">
        <v>21.19</v>
      </c>
      <c r="E36" s="41">
        <v>499</v>
      </c>
      <c r="F36" s="42">
        <v>45672</v>
      </c>
      <c r="G36" s="6">
        <f ca="1">IFERROR(__xludf.DUMMYFUNCTION("IF(E36="""", """", IF(OR(B36=""PURCHASE"", B36=""SWITCH PURCHASE""), E36*-1, E36))
"),-499)</f>
        <v>-499</v>
      </c>
      <c r="N36" s="30"/>
      <c r="P36" s="22">
        <v>45672</v>
      </c>
      <c r="Q36" s="6">
        <v>-499</v>
      </c>
      <c r="S36" s="30"/>
      <c r="W36" s="6"/>
      <c r="X36" s="20"/>
      <c r="Y36" s="41"/>
      <c r="Z36" s="42"/>
    </row>
    <row r="37" spans="1:26" ht="14.5">
      <c r="A37" s="43" t="s">
        <v>38</v>
      </c>
      <c r="B37" s="29" t="s">
        <v>37</v>
      </c>
      <c r="C37" s="20">
        <v>21.73</v>
      </c>
      <c r="D37" s="20">
        <v>23</v>
      </c>
      <c r="E37" s="41">
        <v>499</v>
      </c>
      <c r="F37" s="42">
        <v>45672</v>
      </c>
      <c r="G37" s="6">
        <f ca="1">IFERROR(__xludf.DUMMYFUNCTION("IF(E37="""", """", IF(OR(B37=""PURCHASE"", B37=""SWITCH PURCHASE""), E37*-1, E37))
"),-499)</f>
        <v>-499</v>
      </c>
      <c r="N37" s="30"/>
      <c r="P37" s="22">
        <v>45672</v>
      </c>
      <c r="Q37" s="6">
        <v>-499</v>
      </c>
      <c r="S37" s="30"/>
      <c r="W37" s="6"/>
      <c r="X37" s="20"/>
      <c r="Y37" s="41"/>
      <c r="Z37" s="42"/>
    </row>
    <row r="38" spans="1:26" ht="14.5">
      <c r="A38" s="43" t="s">
        <v>39</v>
      </c>
      <c r="B38" s="29" t="s">
        <v>37</v>
      </c>
      <c r="C38" s="20">
        <v>15.82</v>
      </c>
      <c r="D38" s="20">
        <v>31.6</v>
      </c>
      <c r="E38" s="41">
        <v>499</v>
      </c>
      <c r="F38" s="42">
        <v>45672</v>
      </c>
      <c r="G38" s="6">
        <f ca="1">IFERROR(__xludf.DUMMYFUNCTION("IF(E38="""", """", IF(OR(B38=""PURCHASE"", B38=""SWITCH PURCHASE""), E38*-1, E38))
"),-499)</f>
        <v>-499</v>
      </c>
      <c r="N38" s="30"/>
      <c r="P38" s="22">
        <v>45672</v>
      </c>
      <c r="Q38" s="6">
        <v>-499</v>
      </c>
      <c r="S38" s="30"/>
      <c r="W38" s="6"/>
      <c r="X38" s="20"/>
      <c r="Y38" s="41"/>
      <c r="Z38" s="42"/>
    </row>
    <row r="39" spans="1:26" ht="14.5">
      <c r="A39" s="43" t="s">
        <v>39</v>
      </c>
      <c r="B39" s="29" t="s">
        <v>37</v>
      </c>
      <c r="C39" s="20">
        <v>15.88</v>
      </c>
      <c r="D39" s="20">
        <v>31.49</v>
      </c>
      <c r="E39" s="41">
        <v>499</v>
      </c>
      <c r="F39" s="42">
        <v>45642</v>
      </c>
      <c r="G39" s="6">
        <f ca="1">IFERROR(__xludf.DUMMYFUNCTION("IF(E39="""", """", IF(OR(B39=""PURCHASE"", B39=""SWITCH PURCHASE""), E39*-1, E39))
"),-499)</f>
        <v>-499</v>
      </c>
      <c r="N39" s="30"/>
      <c r="P39" s="22">
        <v>45642</v>
      </c>
      <c r="Q39" s="6">
        <v>-499</v>
      </c>
      <c r="S39" s="30"/>
      <c r="W39" s="6"/>
      <c r="X39" s="20"/>
      <c r="Y39" s="41"/>
      <c r="Z39" s="42"/>
    </row>
    <row r="40" spans="1:26" ht="14.5">
      <c r="A40" s="43" t="s">
        <v>36</v>
      </c>
      <c r="B40" s="29" t="s">
        <v>37</v>
      </c>
      <c r="C40" s="20">
        <v>20.49</v>
      </c>
      <c r="D40" s="20">
        <v>24.4</v>
      </c>
      <c r="E40" s="41">
        <v>499</v>
      </c>
      <c r="F40" s="42">
        <v>45642</v>
      </c>
      <c r="G40" s="6">
        <f ca="1">IFERROR(__xludf.DUMMYFUNCTION("IF(E40="""", """", IF(OR(B40=""PURCHASE"", B40=""SWITCH PURCHASE""), E40*-1, E40))
"),-499)</f>
        <v>-499</v>
      </c>
      <c r="N40" s="30"/>
      <c r="P40" s="22">
        <v>45642</v>
      </c>
      <c r="Q40" s="6">
        <v>-499</v>
      </c>
      <c r="S40" s="30"/>
      <c r="W40" s="6"/>
      <c r="X40" s="20"/>
      <c r="Y40" s="41"/>
      <c r="Z40" s="42"/>
    </row>
    <row r="41" spans="1:26" ht="14.5">
      <c r="A41" s="43" t="s">
        <v>41</v>
      </c>
      <c r="B41" s="29" t="s">
        <v>37</v>
      </c>
      <c r="C41" s="20">
        <v>11.33</v>
      </c>
      <c r="D41" s="20">
        <v>44.13</v>
      </c>
      <c r="E41" s="41">
        <v>499</v>
      </c>
      <c r="F41" s="42">
        <v>45642</v>
      </c>
      <c r="G41" s="6">
        <f ca="1">IFERROR(__xludf.DUMMYFUNCTION("IF(E41="""", """", IF(OR(B41=""PURCHASE"", B41=""SWITCH PURCHASE""), E41*-1, E41))
"),-499)</f>
        <v>-499</v>
      </c>
      <c r="N41" s="30"/>
      <c r="P41" s="22">
        <v>45642</v>
      </c>
      <c r="Q41" s="6">
        <v>-499</v>
      </c>
      <c r="S41" s="30"/>
      <c r="W41" s="6"/>
      <c r="X41" s="20"/>
      <c r="Y41" s="41"/>
      <c r="Z41" s="42"/>
    </row>
    <row r="42" spans="1:26" ht="14.5">
      <c r="A42" s="43" t="s">
        <v>38</v>
      </c>
      <c r="B42" s="29" t="s">
        <v>37</v>
      </c>
      <c r="C42" s="20">
        <v>19.809999999999999</v>
      </c>
      <c r="D42" s="20">
        <v>25.24</v>
      </c>
      <c r="E42" s="41">
        <v>499</v>
      </c>
      <c r="F42" s="42">
        <v>45642</v>
      </c>
      <c r="G42" s="6">
        <f ca="1">IFERROR(__xludf.DUMMYFUNCTION("IF(E42="""", """", IF(OR(B42=""PURCHASE"", B42=""SWITCH PURCHASE""), E42*-1, E42))
"),-499)</f>
        <v>-499</v>
      </c>
      <c r="N42" s="30"/>
      <c r="P42" s="22">
        <v>45642</v>
      </c>
      <c r="Q42" s="6">
        <v>-499</v>
      </c>
      <c r="S42" s="30"/>
      <c r="W42" s="6"/>
      <c r="X42" s="20"/>
      <c r="Y42" s="41"/>
      <c r="Z42" s="42"/>
    </row>
    <row r="43" spans="1:26" ht="14.5">
      <c r="A43" s="43" t="s">
        <v>36</v>
      </c>
      <c r="B43" s="29" t="s">
        <v>37</v>
      </c>
      <c r="C43" s="20">
        <v>22.05</v>
      </c>
      <c r="D43" s="20">
        <v>22.67</v>
      </c>
      <c r="E43" s="41">
        <v>499</v>
      </c>
      <c r="F43" s="42">
        <v>45614</v>
      </c>
      <c r="G43" s="6">
        <f ca="1">IFERROR(__xludf.DUMMYFUNCTION("IF(E43="""", """", IF(OR(B43=""PURCHASE"", B43=""SWITCH PURCHASE""), E43*-1, E43))
"),-499)</f>
        <v>-499</v>
      </c>
      <c r="N43" s="30"/>
      <c r="P43" s="22">
        <v>45614</v>
      </c>
      <c r="Q43" s="6">
        <v>-499</v>
      </c>
      <c r="S43" s="30"/>
      <c r="W43" s="6"/>
      <c r="X43" s="20"/>
      <c r="Y43" s="41"/>
      <c r="Z43" s="42"/>
    </row>
    <row r="44" spans="1:26" ht="14.5">
      <c r="A44" s="43" t="s">
        <v>41</v>
      </c>
      <c r="B44" s="29" t="s">
        <v>37</v>
      </c>
      <c r="C44" s="20">
        <v>13.88</v>
      </c>
      <c r="D44" s="20">
        <v>36.04</v>
      </c>
      <c r="E44" s="41">
        <v>499</v>
      </c>
      <c r="F44" s="42">
        <v>45614</v>
      </c>
      <c r="G44" s="6">
        <f ca="1">IFERROR(__xludf.DUMMYFUNCTION("IF(E44="""", """", IF(OR(B44=""PURCHASE"", B44=""SWITCH PURCHASE""), E44*-1, E44))
"),-499)</f>
        <v>-499</v>
      </c>
      <c r="N44" s="30"/>
      <c r="P44" s="22">
        <v>45614</v>
      </c>
      <c r="Q44" s="6">
        <v>-499</v>
      </c>
      <c r="S44" s="30"/>
      <c r="W44" s="6"/>
      <c r="X44" s="20"/>
      <c r="Y44" s="41"/>
      <c r="Z44" s="42"/>
    </row>
    <row r="45" spans="1:26" ht="14.5">
      <c r="A45" s="43" t="s">
        <v>38</v>
      </c>
      <c r="B45" s="29" t="s">
        <v>37</v>
      </c>
      <c r="C45" s="20">
        <v>21.61</v>
      </c>
      <c r="D45" s="20">
        <v>23.14</v>
      </c>
      <c r="E45" s="41">
        <v>499</v>
      </c>
      <c r="F45" s="42">
        <v>45614</v>
      </c>
      <c r="G45" s="6">
        <f ca="1">IFERROR(__xludf.DUMMYFUNCTION("IF(E45="""", """", IF(OR(B45=""PURCHASE"", B45=""SWITCH PURCHASE""), E45*-1, E45))
"),-499)</f>
        <v>-499</v>
      </c>
      <c r="N45" s="30"/>
      <c r="P45" s="22">
        <v>45614</v>
      </c>
      <c r="Q45" s="6">
        <v>-499</v>
      </c>
      <c r="S45" s="30"/>
      <c r="W45" s="6"/>
      <c r="X45" s="20"/>
      <c r="Y45" s="41"/>
      <c r="Z45" s="42"/>
    </row>
    <row r="46" spans="1:26" ht="14.5">
      <c r="A46" s="43" t="s">
        <v>39</v>
      </c>
      <c r="B46" s="29" t="s">
        <v>37</v>
      </c>
      <c r="C46" s="20">
        <v>15.98</v>
      </c>
      <c r="D46" s="20">
        <v>31.29</v>
      </c>
      <c r="E46" s="41">
        <v>499</v>
      </c>
      <c r="F46" s="42">
        <v>45614</v>
      </c>
      <c r="G46" s="6">
        <f ca="1">IFERROR(__xludf.DUMMYFUNCTION("IF(E46="""", """", IF(OR(B46=""PURCHASE"", B46=""SWITCH PURCHASE""), E46*-1, E46))
"),-499)</f>
        <v>-499</v>
      </c>
      <c r="N46" s="30"/>
      <c r="P46" s="22">
        <v>45614</v>
      </c>
      <c r="Q46" s="6">
        <v>-499</v>
      </c>
      <c r="S46" s="30"/>
      <c r="W46" s="6"/>
      <c r="X46" s="20"/>
      <c r="Y46" s="41"/>
      <c r="Z46" s="42"/>
    </row>
    <row r="47" spans="1:26" ht="14.5">
      <c r="A47" s="43" t="s">
        <v>38</v>
      </c>
      <c r="B47" s="29" t="s">
        <v>37</v>
      </c>
      <c r="C47" s="20">
        <v>83.11</v>
      </c>
      <c r="D47" s="20">
        <v>24.06</v>
      </c>
      <c r="E47" s="41">
        <v>1999</v>
      </c>
      <c r="F47" s="42">
        <v>45596</v>
      </c>
      <c r="G47" s="6">
        <f ca="1">IFERROR(__xludf.DUMMYFUNCTION("IF(E47="""", """", IF(OR(B47=""PURCHASE"", B47=""SWITCH PURCHASE""), E47*-1, E47))
"),-1999)</f>
        <v>-1999</v>
      </c>
      <c r="H47" s="9" t="s">
        <v>42</v>
      </c>
      <c r="N47" s="30"/>
      <c r="P47" s="22">
        <v>45596</v>
      </c>
      <c r="Q47" s="6">
        <v>-1999</v>
      </c>
      <c r="S47" s="30"/>
      <c r="W47" s="6"/>
      <c r="X47" s="20"/>
      <c r="Y47" s="41"/>
      <c r="Z47" s="42"/>
    </row>
    <row r="48" spans="1:26" ht="14.5">
      <c r="A48" s="43" t="s">
        <v>36</v>
      </c>
      <c r="B48" s="29" t="s">
        <v>37</v>
      </c>
      <c r="C48" s="20">
        <v>117.68</v>
      </c>
      <c r="D48" s="20">
        <v>23.79</v>
      </c>
      <c r="E48" s="41">
        <v>2799</v>
      </c>
      <c r="F48" s="42">
        <v>45596</v>
      </c>
      <c r="G48" s="6">
        <f ca="1">IFERROR(__xludf.DUMMYFUNCTION("IF(E48="""", """", IF(OR(B48=""PURCHASE"", B48=""SWITCH PURCHASE""), E48*-1, E48))
"),-2799)</f>
        <v>-2799</v>
      </c>
      <c r="N48" s="30"/>
      <c r="P48" s="22">
        <v>45596</v>
      </c>
      <c r="Q48" s="6">
        <v>-2799</v>
      </c>
      <c r="S48" s="30"/>
      <c r="W48" s="6"/>
      <c r="X48" s="20"/>
      <c r="Y48" s="41"/>
      <c r="Z48" s="42"/>
    </row>
    <row r="49" spans="1:26" ht="14.5">
      <c r="A49" s="43" t="s">
        <v>39</v>
      </c>
      <c r="B49" s="29" t="s">
        <v>40</v>
      </c>
      <c r="C49" s="20">
        <v>299.91000000000003</v>
      </c>
      <c r="D49" s="20">
        <v>31.16</v>
      </c>
      <c r="E49" s="41">
        <v>9346</v>
      </c>
      <c r="F49" s="42">
        <v>45593</v>
      </c>
      <c r="G49" s="17">
        <f ca="1">IFERROR(__xludf.DUMMYFUNCTION("IF(E49="""", """", IF(OR(B49=""PURCHASE"", B49=""SWITCH PURCHASE""), E49*-1, E49))
"),9346)</f>
        <v>9346</v>
      </c>
      <c r="N49" s="30"/>
      <c r="P49" s="22">
        <v>45593</v>
      </c>
      <c r="Q49" s="17">
        <v>9346</v>
      </c>
      <c r="S49" s="30"/>
      <c r="W49" s="6"/>
      <c r="X49" s="20"/>
      <c r="Y49" s="41"/>
      <c r="Z49" s="42"/>
    </row>
    <row r="50" spans="1:26" ht="14.5">
      <c r="A50" s="43" t="s">
        <v>36</v>
      </c>
      <c r="B50" s="29" t="s">
        <v>37</v>
      </c>
      <c r="C50" s="20">
        <v>19.420000000000002</v>
      </c>
      <c r="D50" s="20">
        <v>25.74</v>
      </c>
      <c r="E50" s="41">
        <v>499</v>
      </c>
      <c r="F50" s="42">
        <v>45581</v>
      </c>
      <c r="G50" s="6">
        <f ca="1">IFERROR(__xludf.DUMMYFUNCTION("IF(E50="""", """", IF(OR(B50=""PURCHASE"", B50=""SWITCH PURCHASE""), E50*-1, E50))
"),-499)</f>
        <v>-499</v>
      </c>
      <c r="N50" s="30"/>
      <c r="P50" s="22">
        <v>45581</v>
      </c>
      <c r="Q50" s="6">
        <v>-499</v>
      </c>
      <c r="S50" s="30"/>
      <c r="W50" s="6"/>
      <c r="X50" s="20"/>
      <c r="Y50" s="41"/>
      <c r="Z50" s="42"/>
    </row>
    <row r="51" spans="1:26" ht="14.5">
      <c r="A51" s="43" t="s">
        <v>41</v>
      </c>
      <c r="B51" s="29" t="s">
        <v>37</v>
      </c>
      <c r="C51" s="20">
        <v>14.2</v>
      </c>
      <c r="D51" s="20">
        <v>35.21</v>
      </c>
      <c r="E51" s="41">
        <v>499</v>
      </c>
      <c r="F51" s="42">
        <v>45581</v>
      </c>
      <c r="G51" s="6">
        <f ca="1">IFERROR(__xludf.DUMMYFUNCTION("IF(E51="""", """", IF(OR(B51=""PURCHASE"", B51=""SWITCH PURCHASE""), E51*-1, E51))
"),-499)</f>
        <v>-499</v>
      </c>
      <c r="N51" s="30"/>
      <c r="P51" s="22">
        <v>45581</v>
      </c>
      <c r="Q51" s="6">
        <v>-499</v>
      </c>
      <c r="S51" s="30"/>
      <c r="W51" s="6"/>
      <c r="X51" s="20"/>
      <c r="Y51" s="41"/>
      <c r="Z51" s="42"/>
    </row>
    <row r="52" spans="1:26" ht="14.5">
      <c r="A52" s="43" t="s">
        <v>38</v>
      </c>
      <c r="B52" s="29" t="s">
        <v>37</v>
      </c>
      <c r="C52" s="20">
        <v>19.64</v>
      </c>
      <c r="D52" s="20">
        <v>25.46</v>
      </c>
      <c r="E52" s="41">
        <v>499</v>
      </c>
      <c r="F52" s="42">
        <v>45581</v>
      </c>
      <c r="G52" s="6">
        <f ca="1">IFERROR(__xludf.DUMMYFUNCTION("IF(E52="""", """", IF(OR(B52=""PURCHASE"", B52=""SWITCH PURCHASE""), E52*-1, E52))
"),-499)</f>
        <v>-499</v>
      </c>
      <c r="N52" s="30"/>
      <c r="P52" s="22">
        <v>45581</v>
      </c>
      <c r="Q52" s="6">
        <v>-499</v>
      </c>
      <c r="S52" s="30"/>
      <c r="W52" s="6"/>
      <c r="X52" s="20"/>
      <c r="Y52" s="41"/>
      <c r="Z52" s="42"/>
    </row>
    <row r="53" spans="1:26" ht="14.5">
      <c r="A53" s="43" t="s">
        <v>39</v>
      </c>
      <c r="B53" s="29" t="s">
        <v>37</v>
      </c>
      <c r="C53" s="20">
        <v>16.059999999999999</v>
      </c>
      <c r="D53" s="20">
        <v>31.14</v>
      </c>
      <c r="E53" s="41">
        <v>499</v>
      </c>
      <c r="F53" s="42">
        <v>45581</v>
      </c>
      <c r="G53" s="6">
        <f ca="1">IFERROR(__xludf.DUMMYFUNCTION("IF(E53="""", """", IF(OR(B53=""PURCHASE"", B53=""SWITCH PURCHASE""), E53*-1, E53))
"),-499)</f>
        <v>-499</v>
      </c>
      <c r="N53" s="30"/>
      <c r="P53" s="22">
        <v>45581</v>
      </c>
      <c r="Q53" s="6">
        <v>-499</v>
      </c>
      <c r="S53" s="30"/>
      <c r="W53" s="6"/>
      <c r="X53" s="20"/>
      <c r="Y53" s="41"/>
      <c r="Z53" s="42"/>
    </row>
    <row r="54" spans="1:26" ht="14.5">
      <c r="A54" s="43" t="s">
        <v>39</v>
      </c>
      <c r="B54" s="29" t="s">
        <v>37</v>
      </c>
      <c r="C54" s="20">
        <v>16.18</v>
      </c>
      <c r="D54" s="20">
        <v>30.89</v>
      </c>
      <c r="E54" s="41">
        <v>499</v>
      </c>
      <c r="F54" s="42">
        <v>45551</v>
      </c>
      <c r="G54" s="6">
        <f ca="1">IFERROR(__xludf.DUMMYFUNCTION("IF(E54="""", """", IF(OR(B54=""PURCHASE"", B54=""SWITCH PURCHASE""), E54*-1, E54))
"),-499)</f>
        <v>-499</v>
      </c>
      <c r="N54" s="30"/>
      <c r="P54" s="22">
        <v>45551</v>
      </c>
      <c r="Q54" s="6">
        <v>-499</v>
      </c>
      <c r="S54" s="30"/>
      <c r="W54" s="6"/>
      <c r="X54" s="20"/>
      <c r="Y54" s="41"/>
      <c r="Z54" s="42"/>
    </row>
    <row r="55" spans="1:26" ht="14.5">
      <c r="A55" s="43" t="s">
        <v>36</v>
      </c>
      <c r="B55" s="29" t="s">
        <v>37</v>
      </c>
      <c r="C55" s="20">
        <v>19.84</v>
      </c>
      <c r="D55" s="20">
        <v>25.2</v>
      </c>
      <c r="E55" s="41">
        <v>499</v>
      </c>
      <c r="F55" s="42">
        <v>45551</v>
      </c>
      <c r="G55" s="6">
        <f ca="1">IFERROR(__xludf.DUMMYFUNCTION("IF(E55="""", """", IF(OR(B55=""PURCHASE"", B55=""SWITCH PURCHASE""), E55*-1, E55))
"),-499)</f>
        <v>-499</v>
      </c>
      <c r="N55" s="30"/>
      <c r="P55" s="22">
        <v>45551</v>
      </c>
      <c r="Q55" s="6">
        <v>-499</v>
      </c>
      <c r="S55" s="30"/>
      <c r="W55" s="6"/>
      <c r="X55" s="20"/>
      <c r="Y55" s="41"/>
      <c r="Z55" s="42"/>
    </row>
    <row r="56" spans="1:26" ht="14.5">
      <c r="A56" s="43" t="s">
        <v>38</v>
      </c>
      <c r="B56" s="29" t="s">
        <v>37</v>
      </c>
      <c r="C56" s="20">
        <v>19.46</v>
      </c>
      <c r="D56" s="20">
        <v>25.69</v>
      </c>
      <c r="E56" s="41">
        <v>499</v>
      </c>
      <c r="F56" s="42">
        <v>45551</v>
      </c>
      <c r="G56" s="6">
        <f ca="1">IFERROR(__xludf.DUMMYFUNCTION("IF(E56="""", """", IF(OR(B56=""PURCHASE"", B56=""SWITCH PURCHASE""), E56*-1, E56))
"),-499)</f>
        <v>-499</v>
      </c>
      <c r="N56" s="30"/>
      <c r="P56" s="22">
        <v>45551</v>
      </c>
      <c r="Q56" s="6">
        <v>-499</v>
      </c>
      <c r="S56" s="30"/>
      <c r="W56" s="6"/>
      <c r="X56" s="20"/>
      <c r="Y56" s="41"/>
      <c r="Z56" s="42"/>
    </row>
    <row r="57" spans="1:26" ht="14.5">
      <c r="A57" s="43" t="s">
        <v>41</v>
      </c>
      <c r="B57" s="29" t="s">
        <v>37</v>
      </c>
      <c r="C57" s="20">
        <v>14.76</v>
      </c>
      <c r="D57" s="20">
        <v>33.880000000000003</v>
      </c>
      <c r="E57" s="41">
        <v>499</v>
      </c>
      <c r="F57" s="42">
        <v>45551</v>
      </c>
      <c r="G57" s="6">
        <f ca="1">IFERROR(__xludf.DUMMYFUNCTION("IF(E57="""", """", IF(OR(B57=""PURCHASE"", B57=""SWITCH PURCHASE""), E57*-1, E57))
"),-499)</f>
        <v>-499</v>
      </c>
      <c r="N57" s="30"/>
      <c r="P57" s="22">
        <v>45551</v>
      </c>
      <c r="Q57" s="6">
        <v>-499</v>
      </c>
      <c r="S57" s="30"/>
      <c r="W57" s="6"/>
      <c r="X57" s="20"/>
      <c r="Y57" s="41"/>
      <c r="Z57" s="42"/>
    </row>
    <row r="58" spans="1:26" ht="14.5">
      <c r="A58" s="43" t="s">
        <v>36</v>
      </c>
      <c r="B58" s="29" t="s">
        <v>37</v>
      </c>
      <c r="C58" s="6">
        <v>289.67</v>
      </c>
      <c r="D58" s="6">
        <v>25.2</v>
      </c>
      <c r="E58" s="17">
        <v>7299</v>
      </c>
      <c r="F58" s="22">
        <v>45527</v>
      </c>
      <c r="G58" s="6">
        <f ca="1">IFERROR(__xludf.DUMMYFUNCTION("IF(E58="""", """", IF(OR(B58=""PURCHASE"", B58=""SWITCH PURCHASE""), E58*-1, E58))
"),-7299)</f>
        <v>-7299</v>
      </c>
      <c r="H58" s="9" t="s">
        <v>43</v>
      </c>
      <c r="N58" s="30"/>
      <c r="P58" s="22">
        <v>45527</v>
      </c>
      <c r="Q58" s="6">
        <v>-7299</v>
      </c>
      <c r="S58" s="30"/>
      <c r="W58" s="6"/>
      <c r="X58" s="20"/>
      <c r="Y58" s="41"/>
      <c r="Z58" s="42"/>
    </row>
    <row r="59" spans="1:26" ht="14.5">
      <c r="A59" s="43" t="s">
        <v>38</v>
      </c>
      <c r="B59" s="29" t="s">
        <v>37</v>
      </c>
      <c r="C59" s="45">
        <v>292.23</v>
      </c>
      <c r="D59" s="45">
        <v>24.98</v>
      </c>
      <c r="E59" s="46">
        <v>7299</v>
      </c>
      <c r="F59" s="47">
        <v>45527</v>
      </c>
      <c r="G59" s="6">
        <f ca="1">IFERROR(__xludf.DUMMYFUNCTION("IF(E59="""", """", IF(OR(B59=""PURCHASE"", B59=""SWITCH PURCHASE""), E59*-1, E59))
"),-7299)</f>
        <v>-7299</v>
      </c>
      <c r="N59" s="30"/>
      <c r="P59" s="47">
        <v>45527</v>
      </c>
      <c r="Q59" s="6">
        <v>-7299</v>
      </c>
      <c r="S59" s="30"/>
      <c r="W59" s="6"/>
      <c r="X59" s="20"/>
      <c r="Y59" s="41"/>
      <c r="Z59" s="42"/>
    </row>
    <row r="60" spans="1:26" ht="14.5">
      <c r="A60" s="43" t="s">
        <v>36</v>
      </c>
      <c r="B60" s="29" t="s">
        <v>37</v>
      </c>
      <c r="C60" s="45">
        <v>20.21</v>
      </c>
      <c r="D60" s="45">
        <v>24.73</v>
      </c>
      <c r="E60" s="45">
        <v>499</v>
      </c>
      <c r="F60" s="47">
        <v>45520</v>
      </c>
      <c r="G60" s="6">
        <f ca="1">IFERROR(__xludf.DUMMYFUNCTION("IF(E60="""", """", IF(OR(B60=""PURCHASE"", B60=""SWITCH PURCHASE""), E60*-1, E60))
"),-499)</f>
        <v>-499</v>
      </c>
      <c r="N60" s="30"/>
      <c r="P60" s="47">
        <v>45520</v>
      </c>
      <c r="Q60" s="6">
        <v>-499</v>
      </c>
      <c r="S60" s="30"/>
      <c r="W60" s="6"/>
      <c r="X60" s="20"/>
      <c r="Y60" s="41"/>
      <c r="Z60" s="42"/>
    </row>
    <row r="61" spans="1:26" ht="14.5">
      <c r="A61" s="43" t="s">
        <v>41</v>
      </c>
      <c r="B61" s="29" t="s">
        <v>37</v>
      </c>
      <c r="C61" s="45">
        <v>14.71</v>
      </c>
      <c r="D61" s="45">
        <v>34</v>
      </c>
      <c r="E61" s="46">
        <v>499</v>
      </c>
      <c r="F61" s="47">
        <v>45520</v>
      </c>
      <c r="G61" s="6">
        <f ca="1">IFERROR(__xludf.DUMMYFUNCTION("IF(E61="""", """", IF(OR(B61=""PURCHASE"", B61=""SWITCH PURCHASE""), E61*-1, E61))
"),-499)</f>
        <v>-499</v>
      </c>
      <c r="N61" s="30"/>
      <c r="P61" s="47">
        <v>45520</v>
      </c>
      <c r="Q61" s="6">
        <v>-499</v>
      </c>
      <c r="S61" s="30"/>
      <c r="W61" s="6"/>
      <c r="X61" s="20"/>
      <c r="Y61" s="41"/>
      <c r="Z61" s="42"/>
    </row>
    <row r="62" spans="1:26" ht="14.5">
      <c r="A62" s="43" t="s">
        <v>38</v>
      </c>
      <c r="B62" s="29" t="s">
        <v>37</v>
      </c>
      <c r="C62" s="48">
        <v>20.350000000000001</v>
      </c>
      <c r="D62" s="45">
        <v>24.57</v>
      </c>
      <c r="E62" s="45">
        <v>499</v>
      </c>
      <c r="F62" s="47">
        <v>45520</v>
      </c>
      <c r="G62" s="6">
        <f ca="1">IFERROR(__xludf.DUMMYFUNCTION("IF(E62="""", """", IF(OR(B62=""PURCHASE"", B62=""SWITCH PURCHASE""), E62*-1, E62))
"),-499)</f>
        <v>-499</v>
      </c>
      <c r="N62" s="30"/>
      <c r="P62" s="47">
        <v>45520</v>
      </c>
      <c r="Q62" s="6">
        <v>-499</v>
      </c>
      <c r="S62" s="30"/>
      <c r="W62" s="6"/>
      <c r="X62" s="20"/>
      <c r="Y62" s="41"/>
      <c r="Z62" s="42"/>
    </row>
    <row r="63" spans="1:26" ht="14.5">
      <c r="A63" s="43" t="s">
        <v>39</v>
      </c>
      <c r="B63" s="29" t="s">
        <v>37</v>
      </c>
      <c r="C63" s="6">
        <v>16.32</v>
      </c>
      <c r="D63" s="6">
        <v>30.64</v>
      </c>
      <c r="E63" s="6">
        <v>499</v>
      </c>
      <c r="F63" s="22">
        <v>45520</v>
      </c>
      <c r="G63" s="6">
        <f ca="1">IFERROR(__xludf.DUMMYFUNCTION("IF(E63="""", """", IF(OR(B63=""PURCHASE"", B63=""SWITCH PURCHASE""), E63*-1, E63))
"),-499)</f>
        <v>-499</v>
      </c>
      <c r="N63" s="30"/>
      <c r="P63" s="22">
        <v>45520</v>
      </c>
      <c r="Q63" s="6">
        <v>-499</v>
      </c>
      <c r="S63" s="30"/>
      <c r="W63" s="6"/>
      <c r="X63" s="20"/>
      <c r="Y63" s="41"/>
      <c r="Z63" s="42"/>
    </row>
    <row r="64" spans="1:26" ht="14.5">
      <c r="A64" s="43" t="s">
        <v>39</v>
      </c>
      <c r="B64" s="29" t="s">
        <v>40</v>
      </c>
      <c r="C64" s="6">
        <v>652.89</v>
      </c>
      <c r="D64" s="6">
        <v>30.63</v>
      </c>
      <c r="E64" s="17">
        <v>20000</v>
      </c>
      <c r="F64" s="22">
        <v>45518</v>
      </c>
      <c r="G64" s="17">
        <f ca="1">IFERROR(__xludf.DUMMYFUNCTION("IF(E64="""", """", IF(OR(B64=""PURCHASE"", B64=""SWITCH PURCHASE""), E64*-1, E64))
"),20000)</f>
        <v>20000</v>
      </c>
      <c r="N64" s="30"/>
      <c r="P64" s="22">
        <v>45518</v>
      </c>
      <c r="Q64" s="17">
        <v>20000</v>
      </c>
      <c r="S64" s="30"/>
      <c r="W64" s="6"/>
      <c r="X64" s="20"/>
      <c r="Y64" s="41"/>
      <c r="Z64" s="42"/>
    </row>
    <row r="65" spans="1:26" ht="14.5">
      <c r="A65" s="43" t="s">
        <v>38</v>
      </c>
      <c r="B65" s="29" t="s">
        <v>37</v>
      </c>
      <c r="C65" s="20">
        <v>411.33</v>
      </c>
      <c r="D65" s="20">
        <v>24.31</v>
      </c>
      <c r="E65" s="41">
        <v>9999</v>
      </c>
      <c r="F65" s="42">
        <v>45498</v>
      </c>
      <c r="G65" s="6">
        <f ca="1">IFERROR(__xludf.DUMMYFUNCTION("IF(E65="""", """", IF(OR(B65=""PURCHASE"", B65=""SWITCH PURCHASE""), E65*-1, E65))
"),-9999)</f>
        <v>-9999</v>
      </c>
      <c r="N65" s="30"/>
      <c r="P65" s="22">
        <v>45498</v>
      </c>
      <c r="Q65" s="6">
        <v>-9999</v>
      </c>
      <c r="S65" s="30"/>
      <c r="W65" s="6"/>
      <c r="X65" s="20"/>
      <c r="Y65" s="41"/>
      <c r="Z65" s="42"/>
    </row>
    <row r="66" spans="1:26" ht="14.5">
      <c r="A66" s="43" t="s">
        <v>36</v>
      </c>
      <c r="B66" s="29" t="s">
        <v>37</v>
      </c>
      <c r="C66" s="20">
        <v>412.32</v>
      </c>
      <c r="D66" s="20">
        <v>24.25</v>
      </c>
      <c r="E66" s="41">
        <v>9999</v>
      </c>
      <c r="F66" s="42">
        <v>45498</v>
      </c>
      <c r="G66" s="6">
        <f ca="1">IFERROR(__xludf.DUMMYFUNCTION("IF(E66="""", """", IF(OR(B66=""PURCHASE"", B66=""SWITCH PURCHASE""), E66*-1, E66))
"),-9999)</f>
        <v>-9999</v>
      </c>
      <c r="N66" s="30"/>
      <c r="P66" s="22">
        <v>45498</v>
      </c>
      <c r="Q66" s="6">
        <v>-9999</v>
      </c>
      <c r="S66" s="30"/>
      <c r="W66" s="6"/>
      <c r="X66" s="20"/>
      <c r="Y66" s="41"/>
      <c r="Z66" s="42"/>
    </row>
    <row r="67" spans="1:26" ht="14.5">
      <c r="A67" s="43" t="s">
        <v>39</v>
      </c>
      <c r="B67" s="29" t="s">
        <v>37</v>
      </c>
      <c r="C67" s="49">
        <v>747.59</v>
      </c>
      <c r="D67" s="20">
        <v>30.43</v>
      </c>
      <c r="E67" s="41">
        <v>22748</v>
      </c>
      <c r="F67" s="42">
        <v>45495</v>
      </c>
      <c r="G67" s="6">
        <f ca="1">IFERROR(__xludf.DUMMYFUNCTION("IF(E67="""", """", IF(OR(B67=""PURCHASE"", B67=""SWITCH PURCHASE""), E67*-1, E67))
"),-22748)</f>
        <v>-22748</v>
      </c>
      <c r="N67" s="30"/>
      <c r="P67" s="22">
        <v>45495</v>
      </c>
      <c r="Q67" s="6">
        <v>-22748</v>
      </c>
      <c r="S67" s="30"/>
      <c r="W67" s="6"/>
      <c r="X67" s="20"/>
      <c r="Y67" s="41"/>
      <c r="Z67" s="42"/>
    </row>
    <row r="68" spans="1:26" ht="14.5">
      <c r="A68" s="43" t="s">
        <v>44</v>
      </c>
      <c r="B68" s="29" t="s">
        <v>40</v>
      </c>
      <c r="C68" s="20">
        <v>62.06</v>
      </c>
      <c r="D68" s="20">
        <v>126.35</v>
      </c>
      <c r="E68" s="41">
        <v>7784</v>
      </c>
      <c r="F68" s="42">
        <v>45491</v>
      </c>
      <c r="G68" s="17">
        <f ca="1">IFERROR(__xludf.DUMMYFUNCTION("IF(E68="""", """", IF(OR(B68=""PURCHASE"", B68=""SWITCH PURCHASE""), E68*-1, E68))
"),7784)</f>
        <v>7784</v>
      </c>
      <c r="N68" s="30"/>
      <c r="P68" s="22">
        <v>45491</v>
      </c>
      <c r="Q68" s="17">
        <v>7784</v>
      </c>
      <c r="S68" s="30"/>
      <c r="W68" s="6"/>
      <c r="X68" s="20"/>
      <c r="Y68" s="41"/>
      <c r="Z68" s="42"/>
    </row>
    <row r="69" spans="1:26" ht="14.5">
      <c r="A69" s="43" t="s">
        <v>45</v>
      </c>
      <c r="B69" s="29" t="s">
        <v>40</v>
      </c>
      <c r="C69" s="20">
        <v>23.72</v>
      </c>
      <c r="D69" s="20">
        <v>116.7</v>
      </c>
      <c r="E69" s="41">
        <v>2742</v>
      </c>
      <c r="F69" s="42">
        <v>45491</v>
      </c>
      <c r="G69" s="17">
        <f ca="1">IFERROR(__xludf.DUMMYFUNCTION("IF(E69="""", """", IF(OR(B69=""PURCHASE"", B69=""SWITCH PURCHASE""), E69*-1, E69))
"),2742)</f>
        <v>2742</v>
      </c>
      <c r="N69" s="30"/>
      <c r="P69" s="22">
        <v>45491</v>
      </c>
      <c r="Q69" s="17">
        <v>2742</v>
      </c>
      <c r="S69" s="30"/>
      <c r="W69" s="6"/>
      <c r="X69" s="20"/>
      <c r="Y69" s="41"/>
      <c r="Z69" s="42"/>
    </row>
    <row r="70" spans="1:26" ht="14.5">
      <c r="A70" s="43" t="s">
        <v>46</v>
      </c>
      <c r="B70" s="29" t="s">
        <v>40</v>
      </c>
      <c r="C70" s="20">
        <v>2.5099999999999998</v>
      </c>
      <c r="D70" s="20">
        <v>39.200000000000003</v>
      </c>
      <c r="E70" s="20">
        <v>98</v>
      </c>
      <c r="F70" s="42">
        <v>45491</v>
      </c>
      <c r="G70" s="6">
        <f ca="1">IFERROR(__xludf.DUMMYFUNCTION("IF(E70="""", """", IF(OR(B70=""PURCHASE"", B70=""SWITCH PURCHASE""), E70*-1, E70))
"),98)</f>
        <v>98</v>
      </c>
      <c r="N70" s="30"/>
      <c r="P70" s="22">
        <v>45491</v>
      </c>
      <c r="Q70" s="6">
        <v>98</v>
      </c>
      <c r="S70" s="30"/>
      <c r="W70" s="6"/>
      <c r="X70" s="20"/>
      <c r="Y70" s="41"/>
      <c r="Z70" s="42"/>
    </row>
    <row r="71" spans="1:26" ht="14.5">
      <c r="A71" s="43" t="s">
        <v>39</v>
      </c>
      <c r="B71" s="29" t="s">
        <v>37</v>
      </c>
      <c r="C71" s="49">
        <v>16.45</v>
      </c>
      <c r="D71" s="20">
        <v>30.39</v>
      </c>
      <c r="E71" s="20">
        <v>499</v>
      </c>
      <c r="F71" s="42">
        <v>45489</v>
      </c>
      <c r="G71" s="6">
        <f ca="1">IFERROR(__xludf.DUMMYFUNCTION("IF(E71="""", """", IF(OR(B71=""PURCHASE"", B71=""SWITCH PURCHASE""), E71*-1, E71))
"),-499)</f>
        <v>-499</v>
      </c>
      <c r="N71" s="30"/>
      <c r="P71" s="22">
        <v>45489</v>
      </c>
      <c r="Q71" s="6">
        <v>-499</v>
      </c>
      <c r="S71" s="30"/>
      <c r="W71" s="6"/>
      <c r="X71" s="20"/>
      <c r="Y71" s="41"/>
      <c r="Z71" s="42"/>
    </row>
    <row r="72" spans="1:26" ht="14.5">
      <c r="A72" s="43" t="s">
        <v>44</v>
      </c>
      <c r="B72" s="29" t="s">
        <v>37</v>
      </c>
      <c r="C72" s="49">
        <v>3.92</v>
      </c>
      <c r="D72" s="20">
        <v>127.43</v>
      </c>
      <c r="E72" s="20">
        <v>499</v>
      </c>
      <c r="F72" s="42">
        <v>45489</v>
      </c>
      <c r="G72" s="6">
        <f ca="1">IFERROR(__xludf.DUMMYFUNCTION("IF(E72="""", """", IF(OR(B72=""PURCHASE"", B72=""SWITCH PURCHASE""), E72*-1, E72))
"),-499)</f>
        <v>-499</v>
      </c>
      <c r="N72" s="30"/>
      <c r="P72" s="22">
        <v>45489</v>
      </c>
      <c r="Q72" s="6">
        <v>-499</v>
      </c>
      <c r="S72" s="30"/>
      <c r="W72" s="6"/>
      <c r="X72" s="20"/>
      <c r="Y72" s="41"/>
      <c r="Z72" s="42"/>
    </row>
    <row r="73" spans="1:26" ht="14.5">
      <c r="A73" s="43" t="s">
        <v>45</v>
      </c>
      <c r="B73" s="29" t="s">
        <v>37</v>
      </c>
      <c r="C73" s="49">
        <v>4.26</v>
      </c>
      <c r="D73" s="20">
        <v>117.27</v>
      </c>
      <c r="E73" s="20">
        <v>499</v>
      </c>
      <c r="F73" s="42">
        <v>45489</v>
      </c>
      <c r="G73" s="6">
        <f ca="1">IFERROR(__xludf.DUMMYFUNCTION("IF(E73="""", """", IF(OR(B73=""PURCHASE"", B73=""SWITCH PURCHASE""), E73*-1, E73))
"),-499)</f>
        <v>-499</v>
      </c>
      <c r="N73" s="30"/>
      <c r="P73" s="22">
        <v>45489</v>
      </c>
      <c r="Q73" s="6">
        <v>-499</v>
      </c>
      <c r="S73" s="30"/>
      <c r="W73" s="6"/>
      <c r="X73" s="20"/>
      <c r="Y73" s="41"/>
      <c r="Z73" s="42"/>
    </row>
    <row r="74" spans="1:26" ht="14.5">
      <c r="A74" s="43" t="s">
        <v>41</v>
      </c>
      <c r="B74" s="29" t="s">
        <v>37</v>
      </c>
      <c r="C74" s="49">
        <v>13.96</v>
      </c>
      <c r="D74" s="20">
        <v>35.81</v>
      </c>
      <c r="E74" s="20">
        <v>499</v>
      </c>
      <c r="F74" s="42">
        <v>45489</v>
      </c>
      <c r="G74" s="6">
        <f ca="1">IFERROR(__xludf.DUMMYFUNCTION("IF(E74="""", """", IF(OR(B74=""PURCHASE"", B74=""SWITCH PURCHASE""), E74*-1, E74))
"),-499)</f>
        <v>-499</v>
      </c>
      <c r="N74" s="30"/>
      <c r="P74" s="22">
        <v>45489</v>
      </c>
      <c r="Q74" s="6">
        <v>-499</v>
      </c>
      <c r="S74" s="30"/>
      <c r="W74" s="6"/>
      <c r="X74" s="20"/>
      <c r="Y74" s="41"/>
      <c r="Z74" s="42"/>
    </row>
    <row r="75" spans="1:26" ht="14.5">
      <c r="A75" s="43" t="s">
        <v>47</v>
      </c>
      <c r="B75" s="29" t="s">
        <v>40</v>
      </c>
      <c r="C75" s="20">
        <v>1041.1500000000001</v>
      </c>
      <c r="D75" s="20">
        <v>30.9</v>
      </c>
      <c r="E75" s="41">
        <v>32168</v>
      </c>
      <c r="F75" s="42">
        <v>45488</v>
      </c>
      <c r="G75" s="17">
        <f ca="1">IFERROR(__xludf.DUMMYFUNCTION("IF(E75="""", """", IF(OR(B75=""PURCHASE"", B75=""SWITCH PURCHASE""), E75*-1, E75))
"),32168)</f>
        <v>32168</v>
      </c>
      <c r="N75" s="30"/>
      <c r="P75" s="22">
        <v>45488</v>
      </c>
      <c r="Q75" s="17">
        <v>32168</v>
      </c>
      <c r="S75" s="30"/>
      <c r="W75" s="6"/>
      <c r="X75" s="20"/>
      <c r="Y75" s="41"/>
      <c r="Z75" s="42"/>
    </row>
    <row r="76" spans="1:26" ht="14.5">
      <c r="A76" s="43" t="s">
        <v>48</v>
      </c>
      <c r="B76" s="29" t="s">
        <v>40</v>
      </c>
      <c r="C76" s="20">
        <v>52.61</v>
      </c>
      <c r="D76" s="20">
        <v>365.05</v>
      </c>
      <c r="E76" s="41">
        <v>19203</v>
      </c>
      <c r="F76" s="42">
        <v>45488</v>
      </c>
      <c r="G76" s="17">
        <f ca="1">IFERROR(__xludf.DUMMYFUNCTION("IF(E76="""", """", IF(OR(B76=""PURCHASE"", B76=""SWITCH PURCHASE""), E76*-1, E76))
"),19203)</f>
        <v>19203</v>
      </c>
      <c r="N76" s="30"/>
      <c r="P76" s="22">
        <v>45488</v>
      </c>
      <c r="Q76" s="17">
        <v>19203</v>
      </c>
      <c r="S76" s="30"/>
      <c r="W76" s="6"/>
      <c r="X76" s="20"/>
      <c r="Y76" s="41"/>
      <c r="Z76" s="42"/>
    </row>
    <row r="77" spans="1:26" ht="14.5">
      <c r="A77" s="43" t="s">
        <v>49</v>
      </c>
      <c r="B77" s="29" t="s">
        <v>40</v>
      </c>
      <c r="C77" s="20">
        <v>2.5499999999999998</v>
      </c>
      <c r="D77" s="20">
        <v>3891.11</v>
      </c>
      <c r="E77" s="41">
        <v>9926</v>
      </c>
      <c r="F77" s="42">
        <v>45488</v>
      </c>
      <c r="G77" s="17">
        <f ca="1">IFERROR(__xludf.DUMMYFUNCTION("IF(E77="""", """", IF(OR(B77=""PURCHASE"", B77=""SWITCH PURCHASE""), E77*-1, E77))
"),9926)</f>
        <v>9926</v>
      </c>
      <c r="N77" s="30"/>
      <c r="P77" s="22">
        <v>45488</v>
      </c>
      <c r="Q77" s="17">
        <v>9926</v>
      </c>
      <c r="S77" s="30"/>
      <c r="W77" s="6"/>
      <c r="X77" s="20"/>
      <c r="Y77" s="41"/>
      <c r="Z77" s="42"/>
    </row>
    <row r="78" spans="1:26" ht="14.5">
      <c r="A78" s="43" t="s">
        <v>50</v>
      </c>
      <c r="B78" s="29" t="s">
        <v>40</v>
      </c>
      <c r="C78" s="20">
        <v>134.49</v>
      </c>
      <c r="D78" s="20">
        <v>10.55</v>
      </c>
      <c r="E78" s="41">
        <v>1419</v>
      </c>
      <c r="F78" s="42">
        <v>45488</v>
      </c>
      <c r="G78" s="17">
        <f ca="1">IFERROR(__xludf.DUMMYFUNCTION("IF(E78="""", """", IF(OR(B78=""PURCHASE"", B78=""SWITCH PURCHASE""), E78*-1, E78))
"),1419)</f>
        <v>1419</v>
      </c>
      <c r="N78" s="30"/>
      <c r="P78" s="22">
        <v>45488</v>
      </c>
      <c r="Q78" s="17">
        <v>1419</v>
      </c>
      <c r="S78" s="30"/>
      <c r="W78" s="6"/>
      <c r="X78" s="20"/>
      <c r="Y78" s="41"/>
      <c r="Z78" s="42"/>
    </row>
    <row r="79" spans="1:26" ht="14.5">
      <c r="A79" s="43" t="s">
        <v>36</v>
      </c>
      <c r="B79" s="29" t="s">
        <v>37</v>
      </c>
      <c r="C79" s="20">
        <v>19.96</v>
      </c>
      <c r="D79" s="20">
        <v>25.04</v>
      </c>
      <c r="E79" s="20">
        <v>499</v>
      </c>
      <c r="F79" s="42">
        <v>45489</v>
      </c>
      <c r="G79" s="6">
        <f ca="1">IFERROR(__xludf.DUMMYFUNCTION("IF(E79="""", """", IF(OR(B79=""PURCHASE"", B79=""SWITCH PURCHASE""), E79*-1, E79))
"),-499)</f>
        <v>-499</v>
      </c>
      <c r="N79" s="30"/>
      <c r="P79" s="22">
        <v>45489</v>
      </c>
      <c r="Q79" s="6">
        <v>-499</v>
      </c>
      <c r="S79" s="30"/>
      <c r="W79" s="6"/>
      <c r="X79" s="20"/>
      <c r="Y79" s="41"/>
      <c r="Z79" s="42"/>
    </row>
    <row r="80" spans="1:26" ht="14.5">
      <c r="A80" s="43" t="s">
        <v>38</v>
      </c>
      <c r="B80" s="29" t="s">
        <v>37</v>
      </c>
      <c r="C80" s="20">
        <v>20.21</v>
      </c>
      <c r="D80" s="20">
        <v>24.74</v>
      </c>
      <c r="E80" s="20">
        <v>499</v>
      </c>
      <c r="F80" s="42">
        <v>45489</v>
      </c>
      <c r="G80" s="6">
        <f ca="1">IFERROR(__xludf.DUMMYFUNCTION("IF(E80="""", """", IF(OR(B80=""PURCHASE"", B80=""SWITCH PURCHASE""), E80*-1, E80))
"),-499)</f>
        <v>-499</v>
      </c>
      <c r="N80" s="30"/>
      <c r="P80" s="22">
        <v>45489</v>
      </c>
      <c r="Q80" s="6">
        <v>-499</v>
      </c>
      <c r="S80" s="30"/>
      <c r="W80" s="6"/>
      <c r="X80" s="20"/>
      <c r="Y80" s="41"/>
      <c r="Z80" s="42"/>
    </row>
    <row r="81" spans="1:26" ht="14.5">
      <c r="A81" s="43" t="s">
        <v>46</v>
      </c>
      <c r="B81" s="29" t="s">
        <v>37</v>
      </c>
      <c r="C81" s="20">
        <v>2.5099999999999998</v>
      </c>
      <c r="D81" s="20">
        <v>39.909999999999997</v>
      </c>
      <c r="E81" s="20">
        <v>100</v>
      </c>
      <c r="F81" s="42">
        <v>45489</v>
      </c>
      <c r="G81" s="6">
        <f ca="1">IFERROR(__xludf.DUMMYFUNCTION("IF(E81="""", """", IF(OR(B81=""PURCHASE"", B81=""SWITCH PURCHASE""), E81*-1, E81))
"),-100)</f>
        <v>-100</v>
      </c>
      <c r="N81" s="30"/>
      <c r="P81" s="22">
        <v>45489</v>
      </c>
      <c r="Q81" s="6">
        <v>-100</v>
      </c>
      <c r="S81" s="30"/>
      <c r="W81" s="6"/>
      <c r="X81" s="20"/>
      <c r="Y81" s="41"/>
      <c r="Z81" s="42"/>
    </row>
    <row r="82" spans="1:26" ht="14.5">
      <c r="A82" s="43" t="s">
        <v>51</v>
      </c>
      <c r="B82" s="29" t="s">
        <v>40</v>
      </c>
      <c r="C82" s="20">
        <v>1551.31</v>
      </c>
      <c r="D82" s="20">
        <v>13.06</v>
      </c>
      <c r="E82" s="41">
        <v>20261</v>
      </c>
      <c r="F82" s="50">
        <v>45477</v>
      </c>
      <c r="G82" s="17">
        <f ca="1">IFERROR(__xludf.DUMMYFUNCTION("IF(E82="""", """", IF(OR(B82=""PURCHASE"", B82=""SWITCH PURCHASE""), E82*-1, E82))
"),20261)</f>
        <v>20261</v>
      </c>
      <c r="N82" s="30"/>
      <c r="P82" s="51">
        <v>45477</v>
      </c>
      <c r="Q82" s="17">
        <v>20261</v>
      </c>
      <c r="S82" s="30"/>
      <c r="W82" s="6"/>
      <c r="X82" s="20"/>
      <c r="Y82" s="41"/>
      <c r="Z82" s="42"/>
    </row>
    <row r="83" spans="1:26" ht="14.5">
      <c r="A83" s="20" t="s">
        <v>44</v>
      </c>
      <c r="B83" s="29" t="s">
        <v>37</v>
      </c>
      <c r="C83" s="20">
        <v>4.03</v>
      </c>
      <c r="D83" s="20">
        <v>124</v>
      </c>
      <c r="E83" s="20">
        <v>499</v>
      </c>
      <c r="F83" s="42">
        <v>45462</v>
      </c>
      <c r="G83" s="6">
        <f ca="1">IFERROR(__xludf.DUMMYFUNCTION("IF(E83="""", """", IF(OR(B83=""PURCHASE"", B83=""SWITCH PURCHASE""), E83*-1, E83))
"),-499)</f>
        <v>-499</v>
      </c>
      <c r="N83" s="30"/>
      <c r="P83" s="7">
        <v>45462</v>
      </c>
      <c r="Q83" s="6">
        <v>-499</v>
      </c>
      <c r="S83" s="30"/>
      <c r="W83" s="6"/>
      <c r="X83" s="20"/>
      <c r="Y83" s="41"/>
      <c r="Z83" s="42"/>
    </row>
    <row r="84" spans="1:26" ht="14.5">
      <c r="A84" s="20" t="s">
        <v>39</v>
      </c>
      <c r="B84" s="29" t="s">
        <v>37</v>
      </c>
      <c r="C84" s="20">
        <v>16.559999999999999</v>
      </c>
      <c r="D84" s="20">
        <v>30.2</v>
      </c>
      <c r="E84" s="20">
        <v>499</v>
      </c>
      <c r="F84" s="42">
        <v>45462</v>
      </c>
      <c r="G84" s="6">
        <f ca="1">IFERROR(__xludf.DUMMYFUNCTION("IF(E84="""", """", IF(OR(B84=""PURCHASE"", B84=""SWITCH PURCHASE""), E84*-1, E84))
"),-499)</f>
        <v>-499</v>
      </c>
      <c r="N84" s="30"/>
      <c r="P84" s="7">
        <v>45462</v>
      </c>
      <c r="Q84" s="6">
        <v>-499</v>
      </c>
      <c r="S84" s="30"/>
      <c r="W84" s="6"/>
      <c r="X84" s="20"/>
      <c r="Y84" s="41"/>
      <c r="Z84" s="42"/>
    </row>
    <row r="85" spans="1:26" ht="14.5">
      <c r="A85" s="20" t="s">
        <v>45</v>
      </c>
      <c r="B85" s="29" t="s">
        <v>37</v>
      </c>
      <c r="C85" s="20">
        <v>4.43</v>
      </c>
      <c r="D85" s="20">
        <v>112.88</v>
      </c>
      <c r="E85" s="20">
        <v>499</v>
      </c>
      <c r="F85" s="42">
        <v>45462</v>
      </c>
      <c r="G85" s="6">
        <f ca="1">IFERROR(__xludf.DUMMYFUNCTION("IF(E85="""", """", IF(OR(B85=""PURCHASE"", B85=""SWITCH PURCHASE""), E85*-1, E85))
"),-499)</f>
        <v>-499</v>
      </c>
      <c r="N85" s="30"/>
      <c r="P85" s="7">
        <v>45462</v>
      </c>
      <c r="Q85" s="6">
        <v>-499</v>
      </c>
      <c r="S85" s="30"/>
      <c r="W85" s="6"/>
      <c r="X85" s="20"/>
      <c r="Y85" s="41"/>
      <c r="Z85" s="42"/>
    </row>
    <row r="86" spans="1:26" ht="14.5">
      <c r="A86" s="20" t="s">
        <v>41</v>
      </c>
      <c r="B86" s="29" t="s">
        <v>37</v>
      </c>
      <c r="C86" s="20">
        <v>14.44</v>
      </c>
      <c r="D86" s="20">
        <v>34.619999999999997</v>
      </c>
      <c r="E86" s="20">
        <v>499</v>
      </c>
      <c r="F86" s="42">
        <v>45462</v>
      </c>
      <c r="G86" s="6">
        <f ca="1">IFERROR(__xludf.DUMMYFUNCTION("IF(E86="""", """", IF(OR(B86=""PURCHASE"", B86=""SWITCH PURCHASE""), E86*-1, E86))
"),-499)</f>
        <v>-499</v>
      </c>
      <c r="N86" s="30"/>
      <c r="P86" s="7">
        <v>45462</v>
      </c>
      <c r="Q86" s="6">
        <v>-499</v>
      </c>
      <c r="S86" s="30"/>
      <c r="W86" s="6"/>
      <c r="X86" s="20"/>
      <c r="Y86" s="41"/>
      <c r="Z86" s="42"/>
    </row>
    <row r="87" spans="1:26" ht="14.5">
      <c r="A87" s="20" t="s">
        <v>44</v>
      </c>
      <c r="B87" s="29" t="s">
        <v>37</v>
      </c>
      <c r="C87" s="20">
        <v>4.42</v>
      </c>
      <c r="D87" s="20">
        <v>113.17</v>
      </c>
      <c r="E87" s="20">
        <v>499</v>
      </c>
      <c r="F87" s="52">
        <v>45428</v>
      </c>
      <c r="G87" s="6">
        <f ca="1">IFERROR(__xludf.DUMMYFUNCTION("IF(E87="""", """", IF(OR(B87=""PURCHASE"", B87=""SWITCH PURCHASE""), E87*-1, E87))
"),-499)</f>
        <v>-499</v>
      </c>
      <c r="I87" s="53"/>
      <c r="N87" s="30"/>
      <c r="P87" s="7">
        <v>45428</v>
      </c>
      <c r="Q87" s="6">
        <v>-499</v>
      </c>
      <c r="S87" s="30"/>
      <c r="W87" s="6"/>
      <c r="X87" s="20"/>
      <c r="Y87" s="20"/>
      <c r="Z87" s="42"/>
    </row>
    <row r="88" spans="1:26" ht="14.5">
      <c r="A88" s="20" t="s">
        <v>39</v>
      </c>
      <c r="B88" s="29" t="s">
        <v>37</v>
      </c>
      <c r="C88" s="20">
        <v>16.690000000000001</v>
      </c>
      <c r="D88" s="20">
        <v>29.96</v>
      </c>
      <c r="E88" s="20">
        <v>499</v>
      </c>
      <c r="F88" s="52">
        <v>45428</v>
      </c>
      <c r="G88" s="6">
        <f ca="1">IFERROR(__xludf.DUMMYFUNCTION("IF(E88="""", """", IF(OR(B88=""PURCHASE"", B88=""SWITCH PURCHASE""), E88*-1, E88))
"),-499)</f>
        <v>-499</v>
      </c>
      <c r="I88" s="53"/>
      <c r="N88" s="30"/>
      <c r="P88" s="7">
        <v>45428</v>
      </c>
      <c r="Q88" s="6">
        <v>-499</v>
      </c>
      <c r="S88" s="30"/>
      <c r="W88" s="6"/>
      <c r="X88" s="20"/>
      <c r="Y88" s="20"/>
      <c r="Z88" s="42"/>
    </row>
    <row r="89" spans="1:26" ht="14.5">
      <c r="A89" s="20" t="s">
        <v>41</v>
      </c>
      <c r="B89" s="29" t="s">
        <v>37</v>
      </c>
      <c r="C89" s="20">
        <v>15.59</v>
      </c>
      <c r="D89" s="20">
        <v>32.07</v>
      </c>
      <c r="E89" s="20">
        <v>499</v>
      </c>
      <c r="F89" s="52">
        <v>45428</v>
      </c>
      <c r="G89" s="6">
        <f ca="1">IFERROR(__xludf.DUMMYFUNCTION("IF(E89="""", """", IF(OR(B89=""PURCHASE"", B89=""SWITCH PURCHASE""), E89*-1, E89))
"),-499)</f>
        <v>-499</v>
      </c>
      <c r="I89" s="53"/>
      <c r="N89" s="30"/>
      <c r="P89" s="7">
        <v>45428</v>
      </c>
      <c r="Q89" s="6">
        <v>-499</v>
      </c>
      <c r="S89" s="30"/>
      <c r="W89" s="6"/>
      <c r="X89" s="20"/>
      <c r="Y89" s="20"/>
      <c r="Z89" s="42"/>
    </row>
    <row r="90" spans="1:26" ht="14.5">
      <c r="A90" s="20" t="s">
        <v>45</v>
      </c>
      <c r="B90" s="29" t="s">
        <v>37</v>
      </c>
      <c r="C90" s="20">
        <v>4.8</v>
      </c>
      <c r="D90" s="20">
        <v>104.16</v>
      </c>
      <c r="E90" s="20">
        <v>499</v>
      </c>
      <c r="F90" s="52">
        <v>45428</v>
      </c>
      <c r="G90" s="6">
        <f ca="1">IFERROR(__xludf.DUMMYFUNCTION("IF(E90="""", """", IF(OR(B90=""PURCHASE"", B90=""SWITCH PURCHASE""), E90*-1, E90))
"),-499)</f>
        <v>-499</v>
      </c>
      <c r="I90" s="53"/>
      <c r="N90" s="30"/>
      <c r="P90" s="7">
        <v>45428</v>
      </c>
      <c r="Q90" s="6">
        <v>-499</v>
      </c>
      <c r="S90" s="30"/>
      <c r="W90" s="6"/>
      <c r="X90" s="20"/>
      <c r="Y90" s="20"/>
      <c r="Z90" s="42"/>
    </row>
    <row r="91" spans="1:26" ht="14.5">
      <c r="A91" s="20" t="s">
        <v>39</v>
      </c>
      <c r="B91" s="29" t="s">
        <v>37</v>
      </c>
      <c r="C91" s="20">
        <v>16.809999999999999</v>
      </c>
      <c r="D91" s="20">
        <v>29.74</v>
      </c>
      <c r="E91" s="20">
        <v>499</v>
      </c>
      <c r="F91" s="42">
        <v>45398</v>
      </c>
      <c r="G91" s="6">
        <f ca="1">IFERROR(__xludf.DUMMYFUNCTION("IF(E91="""", """", IF(OR(B91=""PURCHASE"", B91=""SWITCH PURCHASE""), E91*-1, E91))
"),-499)</f>
        <v>-499</v>
      </c>
      <c r="I91" s="22"/>
      <c r="N91" s="30"/>
      <c r="P91" s="7">
        <v>45398</v>
      </c>
      <c r="Q91" s="6">
        <v>-499</v>
      </c>
      <c r="S91" s="30"/>
      <c r="W91" s="6"/>
      <c r="X91" s="20"/>
      <c r="Y91" s="20"/>
      <c r="Z91" s="42"/>
    </row>
    <row r="92" spans="1:26" ht="14.5">
      <c r="A92" s="20" t="s">
        <v>44</v>
      </c>
      <c r="B92" s="29" t="s">
        <v>37</v>
      </c>
      <c r="C92" s="20">
        <v>4.72</v>
      </c>
      <c r="D92" s="20">
        <v>105.98</v>
      </c>
      <c r="E92" s="20">
        <v>499</v>
      </c>
      <c r="F92" s="42">
        <v>45398</v>
      </c>
      <c r="G92" s="6">
        <f ca="1">IFERROR(__xludf.DUMMYFUNCTION("IF(E92="""", """", IF(OR(B92=""PURCHASE"", B92=""SWITCH PURCHASE""), E92*-1, E92))
"),-499)</f>
        <v>-499</v>
      </c>
      <c r="I92" s="22"/>
      <c r="N92" s="30"/>
      <c r="P92" s="7">
        <v>45398</v>
      </c>
      <c r="Q92" s="6">
        <v>-499</v>
      </c>
      <c r="S92" s="30"/>
      <c r="W92" s="6"/>
      <c r="X92" s="20"/>
      <c r="Y92" s="41"/>
      <c r="Z92" s="42"/>
    </row>
    <row r="93" spans="1:26" ht="14.5">
      <c r="A93" s="20" t="s">
        <v>45</v>
      </c>
      <c r="B93" s="29" t="s">
        <v>37</v>
      </c>
      <c r="C93" s="20">
        <v>4.97</v>
      </c>
      <c r="D93" s="20">
        <v>100.66</v>
      </c>
      <c r="E93" s="20">
        <v>499</v>
      </c>
      <c r="F93" s="42">
        <v>45398</v>
      </c>
      <c r="G93" s="6">
        <f ca="1">IFERROR(__xludf.DUMMYFUNCTION("IF(E93="""", """", IF(OR(B93=""PURCHASE"", B93=""SWITCH PURCHASE""), E93*-1, E93))
"),-499)</f>
        <v>-499</v>
      </c>
      <c r="I93" s="22"/>
      <c r="N93" s="30"/>
      <c r="P93" s="7">
        <v>45398</v>
      </c>
      <c r="Q93" s="6">
        <v>-499</v>
      </c>
      <c r="S93" s="30"/>
      <c r="W93" s="6"/>
      <c r="X93" s="20"/>
      <c r="Y93" s="41"/>
      <c r="Z93" s="42"/>
    </row>
    <row r="94" spans="1:26" ht="14.5">
      <c r="A94" s="20" t="s">
        <v>41</v>
      </c>
      <c r="B94" s="29" t="s">
        <v>37</v>
      </c>
      <c r="C94" s="20">
        <v>15.83</v>
      </c>
      <c r="D94" s="20">
        <v>31.59</v>
      </c>
      <c r="E94" s="20">
        <v>499</v>
      </c>
      <c r="F94" s="42">
        <v>45397</v>
      </c>
      <c r="G94" s="6">
        <f ca="1">IFERROR(__xludf.DUMMYFUNCTION("IF(E94="""", """", IF(OR(B94=""PURCHASE"", B94=""SWITCH PURCHASE""), E94*-1, E94))
"),-499)</f>
        <v>-499</v>
      </c>
      <c r="I94" s="22"/>
      <c r="N94" s="30"/>
      <c r="P94" s="7">
        <v>45397</v>
      </c>
      <c r="Q94" s="6">
        <v>-499</v>
      </c>
      <c r="S94" s="30"/>
      <c r="W94" s="6"/>
      <c r="X94" s="20"/>
      <c r="Y94" s="41"/>
      <c r="Z94" s="42"/>
    </row>
    <row r="95" spans="1:26" ht="14.5">
      <c r="A95" s="20" t="s">
        <v>44</v>
      </c>
      <c r="B95" s="29" t="s">
        <v>37</v>
      </c>
      <c r="C95" s="20">
        <v>4.9800000000000004</v>
      </c>
      <c r="D95" s="20">
        <v>100.32</v>
      </c>
      <c r="E95" s="20">
        <v>499</v>
      </c>
      <c r="F95" s="42">
        <v>45369</v>
      </c>
      <c r="G95" s="6">
        <f ca="1">IFERROR(__xludf.DUMMYFUNCTION("IF(E95="""", """", IF(OR(B95=""PURCHASE"", B95=""SWITCH PURCHASE""), E95*-1, E95))
"),-499)</f>
        <v>-499</v>
      </c>
      <c r="I95" s="22"/>
      <c r="N95" s="30"/>
      <c r="P95" s="7">
        <v>45369</v>
      </c>
      <c r="Q95" s="6">
        <v>-499</v>
      </c>
      <c r="S95" s="30"/>
      <c r="W95" s="6"/>
      <c r="X95" s="20"/>
      <c r="Y95" s="41"/>
      <c r="Z95" s="42"/>
    </row>
    <row r="96" spans="1:26" ht="14.5">
      <c r="A96" s="20" t="s">
        <v>39</v>
      </c>
      <c r="B96" s="29" t="s">
        <v>37</v>
      </c>
      <c r="C96" s="20">
        <v>16.89</v>
      </c>
      <c r="D96" s="20">
        <v>29.6</v>
      </c>
      <c r="E96" s="20">
        <v>499</v>
      </c>
      <c r="F96" s="42">
        <v>45366</v>
      </c>
      <c r="G96" s="6">
        <f ca="1">IFERROR(__xludf.DUMMYFUNCTION("IF(E96="""", """", IF(OR(B96=""PURCHASE"", B96=""SWITCH PURCHASE""), E96*-1, E96))
"),-499)</f>
        <v>-499</v>
      </c>
      <c r="I96" s="22"/>
      <c r="N96" s="30"/>
      <c r="P96" s="7">
        <v>45366</v>
      </c>
      <c r="Q96" s="6">
        <v>-499</v>
      </c>
      <c r="S96" s="30"/>
      <c r="W96" s="6"/>
      <c r="X96" s="20"/>
      <c r="Y96" s="20"/>
      <c r="Z96" s="42"/>
    </row>
    <row r="97" spans="1:26" ht="14.5">
      <c r="A97" s="20" t="s">
        <v>45</v>
      </c>
      <c r="B97" s="29" t="s">
        <v>37</v>
      </c>
      <c r="C97" s="20">
        <v>5.26</v>
      </c>
      <c r="D97" s="20">
        <v>95.08</v>
      </c>
      <c r="E97" s="20">
        <v>499</v>
      </c>
      <c r="F97" s="42">
        <v>45366</v>
      </c>
      <c r="G97" s="6">
        <f ca="1">IFERROR(__xludf.DUMMYFUNCTION("IF(E97="""", """", IF(OR(B97=""PURCHASE"", B97=""SWITCH PURCHASE""), E97*-1, E97))
"),-499)</f>
        <v>-499</v>
      </c>
      <c r="I97" s="22"/>
      <c r="N97" s="30"/>
      <c r="P97" s="7">
        <v>45366</v>
      </c>
      <c r="Q97" s="6">
        <v>-499</v>
      </c>
      <c r="S97" s="30"/>
      <c r="W97" s="6"/>
      <c r="X97" s="20"/>
      <c r="Y97" s="20"/>
      <c r="Z97" s="42"/>
    </row>
    <row r="98" spans="1:26" ht="14.5">
      <c r="A98" s="20" t="s">
        <v>41</v>
      </c>
      <c r="B98" s="29" t="s">
        <v>37</v>
      </c>
      <c r="C98" s="20">
        <v>16.149999999999999</v>
      </c>
      <c r="D98" s="20">
        <v>30.96</v>
      </c>
      <c r="E98" s="20">
        <v>499</v>
      </c>
      <c r="F98" s="42">
        <v>45366</v>
      </c>
      <c r="G98" s="6">
        <f ca="1">IFERROR(__xludf.DUMMYFUNCTION("IF(E98="""", """", IF(OR(B98=""PURCHASE"", B98=""SWITCH PURCHASE""), E98*-1, E98))
"),-499)</f>
        <v>-499</v>
      </c>
      <c r="I98" s="22"/>
      <c r="N98" s="30"/>
      <c r="P98" s="7">
        <v>45366</v>
      </c>
      <c r="Q98" s="6">
        <v>-499</v>
      </c>
      <c r="S98" s="30"/>
      <c r="W98" s="6"/>
      <c r="X98" s="20"/>
      <c r="Y98" s="20"/>
      <c r="Z98" s="42"/>
    </row>
    <row r="99" spans="1:26" ht="14.5">
      <c r="A99" s="20" t="s">
        <v>47</v>
      </c>
      <c r="B99" s="29" t="s">
        <v>52</v>
      </c>
      <c r="C99" s="20">
        <v>1041.1500000000001</v>
      </c>
      <c r="D99" s="20">
        <v>30.11</v>
      </c>
      <c r="E99" s="54">
        <v>31349</v>
      </c>
      <c r="F99" s="42">
        <v>45363</v>
      </c>
      <c r="G99" s="6">
        <f ca="1">IFERROR(__xludf.DUMMYFUNCTION("IF(E99="""", """", IF(OR(B99=""PURCHASE"", B99=""SWITCH PURCHASE""), E99*-1, E99))
"),-31349)</f>
        <v>-31349</v>
      </c>
      <c r="I99" s="22"/>
      <c r="N99" s="30"/>
      <c r="P99" s="7">
        <v>45337</v>
      </c>
      <c r="Q99" s="6">
        <v>-499</v>
      </c>
      <c r="S99" s="30"/>
      <c r="W99" s="6"/>
      <c r="X99" s="20"/>
      <c r="Y99" s="41"/>
      <c r="Z99" s="50"/>
    </row>
    <row r="100" spans="1:26" ht="14.5">
      <c r="A100" s="20" t="s">
        <v>51</v>
      </c>
      <c r="B100" s="29" t="s">
        <v>52</v>
      </c>
      <c r="C100" s="20">
        <v>1551.32</v>
      </c>
      <c r="D100" s="20">
        <v>12.79</v>
      </c>
      <c r="E100" s="55">
        <v>19834</v>
      </c>
      <c r="F100" s="50">
        <v>45358</v>
      </c>
      <c r="G100" s="6">
        <f ca="1">IFERROR(__xludf.DUMMYFUNCTION("IF(E100="""", """", IF(OR(B100=""PURCHASE"", B100=""SWITCH PURCHASE""), E100*-1, E100))
"),-19834)</f>
        <v>-19834</v>
      </c>
      <c r="I100" s="51"/>
      <c r="N100" s="30"/>
      <c r="P100" s="7">
        <v>45337</v>
      </c>
      <c r="Q100" s="6">
        <v>-499</v>
      </c>
      <c r="S100" s="30"/>
      <c r="W100" s="6"/>
    </row>
    <row r="101" spans="1:26" ht="14.5">
      <c r="A101" s="20" t="s">
        <v>53</v>
      </c>
      <c r="B101" s="29" t="s">
        <v>54</v>
      </c>
      <c r="C101" s="20">
        <v>635.66</v>
      </c>
      <c r="D101" s="20">
        <v>31.2</v>
      </c>
      <c r="E101" s="55">
        <v>19835</v>
      </c>
      <c r="F101" s="50">
        <v>45358</v>
      </c>
      <c r="G101" s="17">
        <f ca="1">IFERROR(__xludf.DUMMYFUNCTION("IF(E101="""", """", IF(OR(B101=""PURCHASE"", B101=""SWITCH PURCHASE""), E101*-1, E101))
"),19835)</f>
        <v>19835</v>
      </c>
      <c r="I101" s="51"/>
      <c r="J101" s="17"/>
      <c r="N101" s="30"/>
      <c r="P101" s="7">
        <v>45337</v>
      </c>
      <c r="Q101" s="6">
        <v>-499</v>
      </c>
      <c r="S101" s="30"/>
      <c r="W101" s="6"/>
    </row>
    <row r="102" spans="1:26" ht="14.5">
      <c r="A102" s="20" t="s">
        <v>45</v>
      </c>
      <c r="B102" s="29" t="s">
        <v>54</v>
      </c>
      <c r="C102" s="20">
        <v>317.83</v>
      </c>
      <c r="D102" s="20">
        <v>98.64</v>
      </c>
      <c r="E102" s="54">
        <v>31350</v>
      </c>
      <c r="F102" s="50">
        <v>45358</v>
      </c>
      <c r="G102" s="17">
        <f ca="1">IFERROR(__xludf.DUMMYFUNCTION("IF(E102="""", """", IF(OR(B102=""PURCHASE"", B102=""SWITCH PURCHASE""), E102*-1, E102))
"),31350)</f>
        <v>31350</v>
      </c>
      <c r="I102" s="51"/>
      <c r="J102" s="17"/>
      <c r="N102" s="30"/>
      <c r="P102" s="7">
        <v>45337</v>
      </c>
      <c r="Q102" s="6">
        <v>-499</v>
      </c>
      <c r="S102" s="30"/>
      <c r="W102" s="6"/>
    </row>
    <row r="103" spans="1:26" ht="14.5">
      <c r="A103" s="20" t="s">
        <v>44</v>
      </c>
      <c r="B103" s="29" t="s">
        <v>37</v>
      </c>
      <c r="C103" s="20">
        <v>4.97</v>
      </c>
      <c r="D103" s="20">
        <v>100.52</v>
      </c>
      <c r="E103" s="20">
        <v>499</v>
      </c>
      <c r="F103" s="42">
        <v>45337</v>
      </c>
      <c r="G103" s="6">
        <f ca="1">IFERROR(__xludf.DUMMYFUNCTION("IF(E103="""", """", IF(OR(B103=""PURCHASE"", B103=""SWITCH PURCHASE""), E103*-1, E103))
"),-499)</f>
        <v>-499</v>
      </c>
      <c r="I103" s="22"/>
      <c r="N103" s="30"/>
      <c r="P103" s="7">
        <v>45307</v>
      </c>
      <c r="Q103" s="6">
        <v>-499</v>
      </c>
      <c r="S103" s="30"/>
      <c r="W103" s="6"/>
    </row>
    <row r="104" spans="1:26" ht="14.5">
      <c r="A104" s="20" t="s">
        <v>41</v>
      </c>
      <c r="B104" s="29" t="s">
        <v>37</v>
      </c>
      <c r="C104" s="20">
        <v>16.3</v>
      </c>
      <c r="D104" s="20">
        <v>30.68</v>
      </c>
      <c r="E104" s="20">
        <v>499</v>
      </c>
      <c r="F104" s="42">
        <v>45337</v>
      </c>
      <c r="G104" s="6">
        <f ca="1">IFERROR(__xludf.DUMMYFUNCTION("IF(E104="""", """", IF(OR(B104=""PURCHASE"", B104=""SWITCH PURCHASE""), E104*-1, E104))
"),-499)</f>
        <v>-499</v>
      </c>
      <c r="I104" s="22"/>
      <c r="N104" s="30"/>
      <c r="P104" s="7">
        <v>45306</v>
      </c>
      <c r="Q104" s="6">
        <v>-499</v>
      </c>
      <c r="S104" s="30"/>
      <c r="W104" s="6"/>
    </row>
    <row r="105" spans="1:26" ht="14.5">
      <c r="A105" s="20" t="s">
        <v>39</v>
      </c>
      <c r="B105" s="29" t="s">
        <v>37</v>
      </c>
      <c r="C105" s="20">
        <v>17.010000000000002</v>
      </c>
      <c r="D105" s="20">
        <v>29.39</v>
      </c>
      <c r="E105" s="20">
        <v>499</v>
      </c>
      <c r="F105" s="42">
        <v>45337</v>
      </c>
      <c r="G105" s="6">
        <f ca="1">IFERROR(__xludf.DUMMYFUNCTION("IF(E105="""", """", IF(OR(B105=""PURCHASE"", B105=""SWITCH PURCHASE""), E105*-1, E105))
"),-499)</f>
        <v>-499</v>
      </c>
      <c r="I105" s="22"/>
      <c r="N105" s="30"/>
      <c r="P105" s="7">
        <v>45306</v>
      </c>
      <c r="Q105" s="6">
        <v>-499</v>
      </c>
      <c r="S105" s="30"/>
      <c r="W105" s="6"/>
    </row>
    <row r="106" spans="1:26" ht="14.5">
      <c r="A106" s="20" t="s">
        <v>45</v>
      </c>
      <c r="B106" s="29" t="s">
        <v>37</v>
      </c>
      <c r="C106" s="20">
        <v>4.9800000000000004</v>
      </c>
      <c r="D106" s="20">
        <v>100.36</v>
      </c>
      <c r="E106" s="20">
        <v>499</v>
      </c>
      <c r="F106" s="42">
        <v>45337</v>
      </c>
      <c r="G106" s="6">
        <f ca="1">IFERROR(__xludf.DUMMYFUNCTION("IF(E106="""", """", IF(OR(B106=""PURCHASE"", B106=""SWITCH PURCHASE""), E106*-1, E106))
"),-499)</f>
        <v>-499</v>
      </c>
      <c r="I106" s="22"/>
      <c r="N106" s="30"/>
      <c r="P106" s="7">
        <v>45306</v>
      </c>
      <c r="Q106" s="6">
        <v>-499</v>
      </c>
      <c r="S106" s="30"/>
      <c r="W106" s="6"/>
    </row>
    <row r="107" spans="1:26" ht="14.5">
      <c r="A107" s="20" t="s">
        <v>50</v>
      </c>
      <c r="B107" s="29" t="s">
        <v>52</v>
      </c>
      <c r="C107" s="20">
        <v>134.49</v>
      </c>
      <c r="D107" s="20">
        <v>10.18</v>
      </c>
      <c r="E107" s="54">
        <v>1368</v>
      </c>
      <c r="F107" s="42">
        <v>45315</v>
      </c>
      <c r="G107" s="6">
        <f ca="1">IFERROR(__xludf.DUMMYFUNCTION("IF(E107="""", """", IF(OR(B107=""PURCHASE"", B107=""SWITCH PURCHASE""), E107*-1, E107))
"),-1368)</f>
        <v>-1368</v>
      </c>
      <c r="I107" s="22"/>
      <c r="N107" s="30"/>
      <c r="P107" s="7">
        <v>45275</v>
      </c>
      <c r="Q107" s="6">
        <v>-499</v>
      </c>
      <c r="S107" s="30"/>
      <c r="W107" s="6"/>
    </row>
    <row r="108" spans="1:26" ht="14.5">
      <c r="A108" s="20" t="s">
        <v>48</v>
      </c>
      <c r="B108" s="29" t="s">
        <v>52</v>
      </c>
      <c r="C108" s="20">
        <v>52.61</v>
      </c>
      <c r="D108" s="20">
        <v>352.45</v>
      </c>
      <c r="E108" s="55">
        <v>18541</v>
      </c>
      <c r="F108" s="42">
        <v>45314</v>
      </c>
      <c r="G108" s="6">
        <f ca="1">IFERROR(__xludf.DUMMYFUNCTION("IF(E108="""", """", IF(OR(B108=""PURCHASE"", B108=""SWITCH PURCHASE""), E108*-1, E108))
"),-18541)</f>
        <v>-18541</v>
      </c>
      <c r="I108" s="22"/>
      <c r="N108" s="30"/>
      <c r="P108" s="7">
        <v>45275</v>
      </c>
      <c r="Q108" s="6">
        <v>-199</v>
      </c>
      <c r="S108" s="30"/>
      <c r="W108" s="6"/>
    </row>
    <row r="109" spans="1:26" ht="14.5">
      <c r="A109" s="20" t="s">
        <v>49</v>
      </c>
      <c r="B109" s="29" t="s">
        <v>52</v>
      </c>
      <c r="C109" s="20">
        <v>2.5499999999999998</v>
      </c>
      <c r="D109" s="20">
        <v>3757.76</v>
      </c>
      <c r="E109" s="56">
        <v>9584</v>
      </c>
      <c r="F109" s="42">
        <v>45314</v>
      </c>
      <c r="G109" s="6">
        <f ca="1">IFERROR(__xludf.DUMMYFUNCTION("IF(E109="""", """", IF(OR(B109=""PURCHASE"", B109=""SWITCH PURCHASE""), E109*-1, E109))
"),-9584)</f>
        <v>-9584</v>
      </c>
      <c r="I109" s="22"/>
      <c r="N109" s="30"/>
      <c r="P109" s="7">
        <v>45275</v>
      </c>
      <c r="Q109" s="6">
        <v>-100</v>
      </c>
      <c r="S109" s="30"/>
      <c r="W109" s="6"/>
    </row>
    <row r="110" spans="1:26" ht="14.5">
      <c r="A110" s="20" t="s">
        <v>55</v>
      </c>
      <c r="B110" s="29" t="s">
        <v>54</v>
      </c>
      <c r="C110" s="20">
        <v>19.190000000000001</v>
      </c>
      <c r="D110" s="20">
        <v>71.31</v>
      </c>
      <c r="E110" s="54">
        <v>1368</v>
      </c>
      <c r="F110" s="42">
        <v>45310</v>
      </c>
      <c r="G110" s="17">
        <f ca="1">IFERROR(__xludf.DUMMYFUNCTION("IF(E110="""", """", IF(OR(B110=""PURCHASE"", B110=""SWITCH PURCHASE""), E110*-1, E110))
"),1368)</f>
        <v>1368</v>
      </c>
      <c r="I110" s="22"/>
      <c r="J110" s="17"/>
      <c r="N110" s="30"/>
      <c r="P110" s="7">
        <v>45275</v>
      </c>
      <c r="Q110" s="6">
        <v>-199</v>
      </c>
      <c r="S110" s="30"/>
      <c r="W110" s="6"/>
      <c r="Y110" s="6"/>
      <c r="Z110" s="6"/>
    </row>
    <row r="111" spans="1:26" ht="14.5">
      <c r="A111" s="20" t="s">
        <v>56</v>
      </c>
      <c r="B111" s="29" t="s">
        <v>54</v>
      </c>
      <c r="C111" s="20">
        <v>194.61</v>
      </c>
      <c r="D111" s="20">
        <v>49.25</v>
      </c>
      <c r="E111" s="56">
        <v>9585</v>
      </c>
      <c r="F111" s="42">
        <v>45310</v>
      </c>
      <c r="G111" s="17">
        <f ca="1">IFERROR(__xludf.DUMMYFUNCTION("IF(E111="""", """", IF(OR(B111=""PURCHASE"", B111=""SWITCH PURCHASE""), E111*-1, E111))
"),9585)</f>
        <v>9585</v>
      </c>
      <c r="I111" s="22"/>
      <c r="J111" s="17"/>
      <c r="N111" s="30"/>
      <c r="P111" s="7">
        <v>45275</v>
      </c>
      <c r="Q111" s="6">
        <v>-499</v>
      </c>
      <c r="S111" s="30"/>
      <c r="W111" s="6"/>
      <c r="Y111" s="6"/>
      <c r="Z111" s="6"/>
    </row>
    <row r="112" spans="1:26" ht="14.5">
      <c r="A112" s="20" t="s">
        <v>57</v>
      </c>
      <c r="B112" s="29" t="s">
        <v>54</v>
      </c>
      <c r="C112" s="20">
        <v>794.59</v>
      </c>
      <c r="D112" s="20">
        <v>23.34</v>
      </c>
      <c r="E112" s="55">
        <v>18541</v>
      </c>
      <c r="F112" s="42">
        <v>45310</v>
      </c>
      <c r="G112" s="17">
        <f ca="1">IFERROR(__xludf.DUMMYFUNCTION("IF(E112="""", """", IF(OR(B112=""PURCHASE"", B112=""SWITCH PURCHASE""), E112*-1, E112))
"),18541)</f>
        <v>18541</v>
      </c>
      <c r="I112" s="22"/>
      <c r="J112" s="17"/>
      <c r="N112" s="30"/>
      <c r="P112" s="7">
        <v>45275</v>
      </c>
      <c r="Q112" s="6">
        <v>-499</v>
      </c>
      <c r="S112" s="30"/>
      <c r="W112" s="6"/>
    </row>
    <row r="113" spans="1:23" ht="14.5">
      <c r="A113" s="20" t="s">
        <v>39</v>
      </c>
      <c r="B113" s="29" t="s">
        <v>37</v>
      </c>
      <c r="C113" s="20">
        <v>17.13</v>
      </c>
      <c r="D113" s="20">
        <v>29.19</v>
      </c>
      <c r="E113" s="20">
        <v>499</v>
      </c>
      <c r="F113" s="42">
        <v>45307</v>
      </c>
      <c r="G113" s="6">
        <f ca="1">IFERROR(__xludf.DUMMYFUNCTION("IF(E113="""", """", IF(OR(B113=""PURCHASE"", B113=""SWITCH PURCHASE""), E113*-1, E113))
"),-499)</f>
        <v>-499</v>
      </c>
      <c r="I113" s="22"/>
      <c r="N113" s="30"/>
      <c r="P113" s="7">
        <v>45245</v>
      </c>
      <c r="Q113" s="6">
        <v>-199</v>
      </c>
      <c r="S113" s="30"/>
      <c r="W113" s="6"/>
    </row>
    <row r="114" spans="1:23" ht="14.5">
      <c r="A114" s="20" t="s">
        <v>41</v>
      </c>
      <c r="B114" s="29" t="s">
        <v>37</v>
      </c>
      <c r="C114" s="20">
        <v>17.21</v>
      </c>
      <c r="D114" s="20">
        <v>29.04</v>
      </c>
      <c r="E114" s="20">
        <v>499</v>
      </c>
      <c r="F114" s="42">
        <v>45306</v>
      </c>
      <c r="G114" s="6">
        <f ca="1">IFERROR(__xludf.DUMMYFUNCTION("IF(E114="""", """", IF(OR(B114=""PURCHASE"", B114=""SWITCH PURCHASE""), E114*-1, E114))
"),-499)</f>
        <v>-499</v>
      </c>
      <c r="I114" s="22"/>
      <c r="N114" s="30"/>
      <c r="P114" s="7">
        <v>45245</v>
      </c>
      <c r="Q114" s="6">
        <v>-499</v>
      </c>
      <c r="S114" s="30"/>
      <c r="W114" s="6"/>
    </row>
    <row r="115" spans="1:23" ht="14.5">
      <c r="A115" s="20" t="s">
        <v>44</v>
      </c>
      <c r="B115" s="29" t="s">
        <v>37</v>
      </c>
      <c r="C115" s="20">
        <v>5.03</v>
      </c>
      <c r="D115" s="20">
        <v>99.38</v>
      </c>
      <c r="E115" s="20">
        <v>499</v>
      </c>
      <c r="F115" s="42">
        <v>45306</v>
      </c>
      <c r="G115" s="6">
        <f ca="1">IFERROR(__xludf.DUMMYFUNCTION("IF(E115="""", """", IF(OR(B115=""PURCHASE"", B115=""SWITCH PURCHASE""), E115*-1, E115))
"),-499)</f>
        <v>-499</v>
      </c>
      <c r="I115" s="22"/>
      <c r="N115" s="30"/>
      <c r="P115" s="7">
        <v>45245</v>
      </c>
      <c r="Q115" s="6">
        <v>-499</v>
      </c>
      <c r="S115" s="30"/>
      <c r="W115" s="6"/>
    </row>
    <row r="116" spans="1:23" ht="14.5">
      <c r="A116" s="20" t="s">
        <v>45</v>
      </c>
      <c r="B116" s="29" t="s">
        <v>37</v>
      </c>
      <c r="C116" s="20">
        <v>5.04</v>
      </c>
      <c r="D116" s="20">
        <v>99.11</v>
      </c>
      <c r="E116" s="20">
        <v>499</v>
      </c>
      <c r="F116" s="42">
        <v>45306</v>
      </c>
      <c r="G116" s="6">
        <f ca="1">IFERROR(__xludf.DUMMYFUNCTION("IF(E116="""", """", IF(OR(B116=""PURCHASE"", B116=""SWITCH PURCHASE""), E116*-1, E116))
"),-499)</f>
        <v>-499</v>
      </c>
      <c r="I116" s="22"/>
      <c r="N116" s="30"/>
      <c r="P116" s="7">
        <v>45245</v>
      </c>
      <c r="Q116" s="6">
        <v>-199</v>
      </c>
      <c r="S116" s="30"/>
      <c r="W116" s="6"/>
    </row>
    <row r="117" spans="1:23" ht="14.5">
      <c r="A117" s="20" t="s">
        <v>44</v>
      </c>
      <c r="B117" s="29" t="s">
        <v>37</v>
      </c>
      <c r="C117" s="20">
        <v>5.14</v>
      </c>
      <c r="D117" s="20">
        <v>97.19</v>
      </c>
      <c r="E117" s="20">
        <v>499</v>
      </c>
      <c r="F117" s="42">
        <v>45275</v>
      </c>
      <c r="G117" s="6">
        <f ca="1">IFERROR(__xludf.DUMMYFUNCTION("IF(E117="""", """", IF(OR(B117=""PURCHASE"", B117=""SWITCH PURCHASE""), E117*-1, E117))
"),-499)</f>
        <v>-499</v>
      </c>
      <c r="H117" s="9" t="s">
        <v>58</v>
      </c>
      <c r="I117" s="22"/>
      <c r="N117" s="30"/>
      <c r="P117" s="7">
        <v>45245</v>
      </c>
      <c r="Q117" s="6">
        <v>-100</v>
      </c>
      <c r="S117" s="30"/>
      <c r="W117" s="6"/>
    </row>
    <row r="118" spans="1:23" ht="14.5">
      <c r="A118" s="20" t="s">
        <v>59</v>
      </c>
      <c r="B118" s="29" t="s">
        <v>37</v>
      </c>
      <c r="C118" s="20">
        <v>8.6</v>
      </c>
      <c r="D118" s="20">
        <v>23.27</v>
      </c>
      <c r="E118" s="20">
        <v>199</v>
      </c>
      <c r="F118" s="42">
        <v>45275</v>
      </c>
      <c r="G118" s="6">
        <f ca="1">IFERROR(__xludf.DUMMYFUNCTION("IF(E118="""", """", IF(OR(B118=""PURCHASE"", B118=""SWITCH PURCHASE""), E118*-1, E118))
"),-199)</f>
        <v>-199</v>
      </c>
      <c r="I118" s="22"/>
      <c r="N118" s="30"/>
      <c r="P118" s="7">
        <v>45245</v>
      </c>
      <c r="Q118" s="6">
        <v>-499</v>
      </c>
      <c r="S118" s="30"/>
      <c r="W118" s="6"/>
    </row>
    <row r="119" spans="1:23" ht="14.5">
      <c r="A119" s="20" t="s">
        <v>39</v>
      </c>
      <c r="B119" s="29" t="s">
        <v>37</v>
      </c>
      <c r="C119" s="20">
        <v>3.45</v>
      </c>
      <c r="D119" s="20">
        <v>28.99</v>
      </c>
      <c r="E119" s="20">
        <v>100</v>
      </c>
      <c r="F119" s="42">
        <v>45275</v>
      </c>
      <c r="G119" s="6">
        <f ca="1">IFERROR(__xludf.DUMMYFUNCTION("IF(E119="""", """", IF(OR(B119=""PURCHASE"", B119=""SWITCH PURCHASE""), E119*-1, E119))
"),-100)</f>
        <v>-100</v>
      </c>
      <c r="I119" s="22"/>
      <c r="N119" s="30"/>
      <c r="P119" s="7">
        <v>45215</v>
      </c>
      <c r="Q119" s="6">
        <v>-199</v>
      </c>
      <c r="S119" s="30"/>
      <c r="W119" s="6"/>
    </row>
    <row r="120" spans="1:23" ht="14.5">
      <c r="A120" s="20" t="s">
        <v>56</v>
      </c>
      <c r="B120" s="29" t="s">
        <v>37</v>
      </c>
      <c r="C120" s="20">
        <v>4.2300000000000004</v>
      </c>
      <c r="D120" s="20">
        <v>47.26</v>
      </c>
      <c r="E120" s="20">
        <v>199</v>
      </c>
      <c r="F120" s="42">
        <v>45275</v>
      </c>
      <c r="G120" s="6">
        <f ca="1">IFERROR(__xludf.DUMMYFUNCTION("IF(E120="""", """", IF(OR(B120=""PURCHASE"", B120=""SWITCH PURCHASE""), E120*-1, E120))
"),-199)</f>
        <v>-199</v>
      </c>
      <c r="I120" s="22"/>
      <c r="N120" s="30"/>
      <c r="P120" s="7">
        <v>45215</v>
      </c>
      <c r="Q120" s="6">
        <v>-499</v>
      </c>
      <c r="S120" s="30"/>
      <c r="W120" s="6"/>
    </row>
    <row r="121" spans="1:23" ht="14.5">
      <c r="A121" s="20" t="s">
        <v>41</v>
      </c>
      <c r="B121" s="29" t="s">
        <v>37</v>
      </c>
      <c r="C121" s="20">
        <v>17.420000000000002</v>
      </c>
      <c r="D121" s="20">
        <v>28.7</v>
      </c>
      <c r="E121" s="20">
        <v>499</v>
      </c>
      <c r="F121" s="42">
        <v>45275</v>
      </c>
      <c r="G121" s="6">
        <f ca="1">IFERROR(__xludf.DUMMYFUNCTION("IF(E121="""", """", IF(OR(B121=""PURCHASE"", B121=""SWITCH PURCHASE""), E121*-1, E121))
"),-499)</f>
        <v>-499</v>
      </c>
      <c r="I121" s="22"/>
      <c r="N121" s="30"/>
      <c r="P121" s="7">
        <v>45215</v>
      </c>
      <c r="Q121" s="6">
        <v>-499</v>
      </c>
      <c r="S121" s="30"/>
      <c r="W121" s="6"/>
    </row>
    <row r="122" spans="1:23" ht="14.5">
      <c r="A122" s="20" t="s">
        <v>45</v>
      </c>
      <c r="B122" s="29" t="s">
        <v>37</v>
      </c>
      <c r="C122" s="20">
        <v>5.2</v>
      </c>
      <c r="D122" s="20">
        <v>96.17</v>
      </c>
      <c r="E122" s="20">
        <v>499</v>
      </c>
      <c r="F122" s="42">
        <v>45275</v>
      </c>
      <c r="G122" s="6">
        <f ca="1">IFERROR(__xludf.DUMMYFUNCTION("IF(E122="""", """", IF(OR(B122=""PURCHASE"", B122=""SWITCH PURCHASE""), E122*-1, E122))
"),-499)</f>
        <v>-499</v>
      </c>
      <c r="I122" s="22"/>
      <c r="N122" s="30"/>
      <c r="P122" s="7">
        <v>45215</v>
      </c>
      <c r="Q122" s="6">
        <v>-499</v>
      </c>
      <c r="S122" s="30"/>
      <c r="W122" s="6"/>
    </row>
    <row r="123" spans="1:23" ht="14.5">
      <c r="A123" s="20" t="s">
        <v>56</v>
      </c>
      <c r="B123" s="29" t="s">
        <v>37</v>
      </c>
      <c r="C123" s="20">
        <v>4.67</v>
      </c>
      <c r="D123" s="20">
        <v>42.83</v>
      </c>
      <c r="E123" s="20">
        <v>199</v>
      </c>
      <c r="F123" s="42">
        <v>45245</v>
      </c>
      <c r="G123" s="6">
        <f ca="1">IFERROR(__xludf.DUMMYFUNCTION("IF(E123="""", """", IF(OR(B123=""PURCHASE"", B123=""SWITCH PURCHASE""), E123*-1, E123))
"),-199)</f>
        <v>-199</v>
      </c>
      <c r="I123" s="22"/>
      <c r="N123" s="30"/>
      <c r="P123" s="7">
        <v>45215</v>
      </c>
      <c r="Q123" s="6">
        <v>-199</v>
      </c>
      <c r="S123" s="30"/>
      <c r="W123" s="6"/>
    </row>
    <row r="124" spans="1:23" ht="14.5">
      <c r="A124" s="20" t="s">
        <v>45</v>
      </c>
      <c r="B124" s="29" t="s">
        <v>37</v>
      </c>
      <c r="C124" s="20">
        <v>5.44</v>
      </c>
      <c r="D124" s="20">
        <v>91.87</v>
      </c>
      <c r="E124" s="20">
        <v>499</v>
      </c>
      <c r="F124" s="42">
        <v>45245</v>
      </c>
      <c r="G124" s="6">
        <f ca="1">IFERROR(__xludf.DUMMYFUNCTION("IF(E124="""", """", IF(OR(B124=""PURCHASE"", B124=""SWITCH PURCHASE""), E124*-1, E124))
"),-499)</f>
        <v>-499</v>
      </c>
      <c r="I124" s="22"/>
      <c r="N124" s="30"/>
      <c r="P124" s="7">
        <v>45215</v>
      </c>
      <c r="Q124" s="6">
        <v>-100</v>
      </c>
      <c r="S124" s="30"/>
      <c r="W124" s="6"/>
    </row>
    <row r="125" spans="1:23" ht="14.5">
      <c r="A125" s="20" t="s">
        <v>41</v>
      </c>
      <c r="B125" s="29" t="s">
        <v>37</v>
      </c>
      <c r="C125" s="20">
        <v>18.32</v>
      </c>
      <c r="D125" s="20">
        <v>27.3</v>
      </c>
      <c r="E125" s="20">
        <v>499</v>
      </c>
      <c r="F125" s="42">
        <v>45245</v>
      </c>
      <c r="G125" s="6">
        <f ca="1">IFERROR(__xludf.DUMMYFUNCTION("IF(E125="""", """", IF(OR(B125=""PURCHASE"", B125=""SWITCH PURCHASE""), E125*-1, E125))
"),-499)</f>
        <v>-499</v>
      </c>
      <c r="I125" s="22"/>
      <c r="N125" s="30"/>
      <c r="P125" s="7">
        <v>45184</v>
      </c>
      <c r="Q125" s="6">
        <v>-499</v>
      </c>
      <c r="S125" s="30"/>
      <c r="W125" s="6"/>
    </row>
    <row r="126" spans="1:23" ht="14.5">
      <c r="A126" s="20" t="s">
        <v>59</v>
      </c>
      <c r="B126" s="29" t="s">
        <v>37</v>
      </c>
      <c r="C126" s="20">
        <v>9.36</v>
      </c>
      <c r="D126" s="20">
        <v>21.38</v>
      </c>
      <c r="E126" s="20">
        <v>199</v>
      </c>
      <c r="F126" s="42">
        <v>45245</v>
      </c>
      <c r="G126" s="6">
        <f ca="1">IFERROR(__xludf.DUMMYFUNCTION("IF(E126="""", """", IF(OR(B126=""PURCHASE"", B126=""SWITCH PURCHASE""), E126*-1, E126))
"),-199)</f>
        <v>-199</v>
      </c>
      <c r="I126" s="22"/>
      <c r="N126" s="30"/>
      <c r="P126" s="7">
        <v>45184</v>
      </c>
      <c r="Q126" s="6">
        <v>-199</v>
      </c>
      <c r="S126" s="30"/>
      <c r="W126" s="6"/>
    </row>
    <row r="127" spans="1:23" ht="14.5">
      <c r="A127" s="20" t="s">
        <v>39</v>
      </c>
      <c r="B127" s="29" t="s">
        <v>37</v>
      </c>
      <c r="C127" s="20">
        <v>3.47</v>
      </c>
      <c r="D127" s="20">
        <v>28.8</v>
      </c>
      <c r="E127" s="20">
        <v>100</v>
      </c>
      <c r="F127" s="42">
        <v>45245</v>
      </c>
      <c r="G127" s="6">
        <f ca="1">IFERROR(__xludf.DUMMYFUNCTION("IF(E127="""", """", IF(OR(B127=""PURCHASE"", B127=""SWITCH PURCHASE""), E127*-1, E127))
"),-100)</f>
        <v>-100</v>
      </c>
      <c r="I127" s="22"/>
      <c r="N127" s="30"/>
      <c r="P127" s="7">
        <v>45184</v>
      </c>
      <c r="Q127" s="6">
        <v>-499</v>
      </c>
      <c r="S127" s="30"/>
      <c r="W127" s="6"/>
    </row>
    <row r="128" spans="1:23" ht="14.5">
      <c r="A128" s="20" t="s">
        <v>44</v>
      </c>
      <c r="B128" s="29" t="s">
        <v>37</v>
      </c>
      <c r="C128" s="20">
        <v>5.51</v>
      </c>
      <c r="D128" s="20">
        <v>90.8</v>
      </c>
      <c r="E128" s="20">
        <v>499</v>
      </c>
      <c r="F128" s="42">
        <v>45245</v>
      </c>
      <c r="G128" s="6">
        <f ca="1">IFERROR(__xludf.DUMMYFUNCTION("IF(E128="""", """", IF(OR(B128=""PURCHASE"", B128=""SWITCH PURCHASE""), E128*-1, E128))
"),-499)</f>
        <v>-499</v>
      </c>
      <c r="I128" s="22"/>
      <c r="N128" s="30"/>
      <c r="P128" s="7">
        <v>45184</v>
      </c>
      <c r="Q128" s="6">
        <v>-100</v>
      </c>
      <c r="S128" s="30"/>
      <c r="W128" s="6"/>
    </row>
    <row r="129" spans="1:26" ht="14.5">
      <c r="A129" s="20" t="s">
        <v>44</v>
      </c>
      <c r="B129" s="29" t="s">
        <v>37</v>
      </c>
      <c r="C129" s="20">
        <v>2.21</v>
      </c>
      <c r="D129" s="20">
        <v>90.49</v>
      </c>
      <c r="E129" s="20">
        <v>199</v>
      </c>
      <c r="F129" s="42">
        <v>45215</v>
      </c>
      <c r="G129" s="6">
        <f ca="1">IFERROR(__xludf.DUMMYFUNCTION("IF(E129="""", """", IF(OR(B129=""PURCHASE"", B129=""SWITCH PURCHASE""), E129*-1, E129))
"),-199)</f>
        <v>-199</v>
      </c>
      <c r="I129" s="22"/>
      <c r="N129" s="30"/>
      <c r="P129" s="7">
        <v>45184</v>
      </c>
      <c r="Q129" s="6">
        <v>-199</v>
      </c>
      <c r="S129" s="30"/>
      <c r="W129" s="6"/>
    </row>
    <row r="130" spans="1:26" ht="14.5">
      <c r="A130" s="20" t="s">
        <v>59</v>
      </c>
      <c r="B130" s="29" t="s">
        <v>37</v>
      </c>
      <c r="C130" s="20">
        <v>23.16</v>
      </c>
      <c r="D130" s="20">
        <v>21.59</v>
      </c>
      <c r="E130" s="20">
        <v>499</v>
      </c>
      <c r="F130" s="42">
        <v>45215</v>
      </c>
      <c r="G130" s="6">
        <f ca="1">IFERROR(__xludf.DUMMYFUNCTION("IF(E130="""", """", IF(OR(B130=""PURCHASE"", B130=""SWITCH PURCHASE""), E130*-1, E130))
"),-499)</f>
        <v>-499</v>
      </c>
      <c r="I130" s="22"/>
      <c r="N130" s="30"/>
      <c r="P130" s="7">
        <v>45184</v>
      </c>
      <c r="Q130" s="6">
        <v>-499</v>
      </c>
      <c r="S130" s="30"/>
      <c r="W130" s="6"/>
    </row>
    <row r="131" spans="1:26" ht="14.5">
      <c r="A131" s="20" t="s">
        <v>45</v>
      </c>
      <c r="B131" s="29" t="s">
        <v>37</v>
      </c>
      <c r="C131" s="20">
        <v>5.61</v>
      </c>
      <c r="D131" s="20">
        <v>89.15</v>
      </c>
      <c r="E131" s="20">
        <v>499</v>
      </c>
      <c r="F131" s="42">
        <v>45215</v>
      </c>
      <c r="G131" s="6">
        <f ca="1">IFERROR(__xludf.DUMMYFUNCTION("IF(E131="""", """", IF(OR(B131=""PURCHASE"", B131=""SWITCH PURCHASE""), E131*-1, E131))
"),-499)</f>
        <v>-499</v>
      </c>
      <c r="I131" s="22"/>
      <c r="N131" s="30"/>
      <c r="P131" s="7">
        <v>45154</v>
      </c>
      <c r="Q131" s="6">
        <v>-199</v>
      </c>
      <c r="S131" s="30"/>
      <c r="W131" s="6"/>
    </row>
    <row r="132" spans="1:26" ht="14.5">
      <c r="A132" s="20" t="s">
        <v>41</v>
      </c>
      <c r="B132" s="29" t="s">
        <v>37</v>
      </c>
      <c r="C132" s="20">
        <v>19.170000000000002</v>
      </c>
      <c r="D132" s="20">
        <v>26.08</v>
      </c>
      <c r="E132" s="20">
        <v>499</v>
      </c>
      <c r="F132" s="42">
        <v>45215</v>
      </c>
      <c r="G132" s="6">
        <f ca="1">IFERROR(__xludf.DUMMYFUNCTION("IF(E132="""", """", IF(OR(B132=""PURCHASE"", B132=""SWITCH PURCHASE""), E132*-1, E132))
"),-499)</f>
        <v>-499</v>
      </c>
      <c r="I132" s="22"/>
      <c r="N132" s="30"/>
      <c r="P132" s="7">
        <v>45154</v>
      </c>
      <c r="Q132" s="6">
        <v>-499</v>
      </c>
      <c r="S132" s="30"/>
      <c r="W132" s="6"/>
    </row>
    <row r="133" spans="1:26" ht="14.5">
      <c r="A133" s="20" t="s">
        <v>56</v>
      </c>
      <c r="B133" s="29" t="s">
        <v>37</v>
      </c>
      <c r="C133" s="20">
        <v>4.84</v>
      </c>
      <c r="D133" s="20">
        <v>41.3</v>
      </c>
      <c r="E133" s="20">
        <v>199</v>
      </c>
      <c r="F133" s="42">
        <v>45215</v>
      </c>
      <c r="G133" s="6">
        <f ca="1">IFERROR(__xludf.DUMMYFUNCTION("IF(E133="""", """", IF(OR(B133=""PURCHASE"", B133=""SWITCH PURCHASE""), E133*-1, E133))
"),-199)</f>
        <v>-199</v>
      </c>
      <c r="I133" s="22"/>
      <c r="N133" s="30"/>
      <c r="P133" s="7">
        <v>45154</v>
      </c>
      <c r="Q133" s="6">
        <v>-100</v>
      </c>
      <c r="S133" s="30"/>
      <c r="W133" s="6"/>
    </row>
    <row r="134" spans="1:26" ht="14.5">
      <c r="A134" s="20" t="s">
        <v>39</v>
      </c>
      <c r="B134" s="29" t="s">
        <v>37</v>
      </c>
      <c r="C134" s="20">
        <v>3.5</v>
      </c>
      <c r="D134" s="20">
        <v>28.58</v>
      </c>
      <c r="E134" s="20">
        <v>100</v>
      </c>
      <c r="F134" s="42">
        <v>45215</v>
      </c>
      <c r="G134" s="6">
        <f ca="1">IFERROR(__xludf.DUMMYFUNCTION("IF(E134="""", """", IF(OR(B134=""PURCHASE"", B134=""SWITCH PURCHASE""), E134*-1, E134))
"),-100)</f>
        <v>-100</v>
      </c>
      <c r="I134" s="22"/>
      <c r="N134" s="30"/>
      <c r="P134" s="7">
        <v>45154</v>
      </c>
      <c r="Q134" s="6">
        <v>-499</v>
      </c>
      <c r="S134" s="30"/>
      <c r="W134" s="6"/>
    </row>
    <row r="135" spans="1:26" ht="14.5">
      <c r="A135" s="20" t="s">
        <v>45</v>
      </c>
      <c r="B135" s="29" t="s">
        <v>37</v>
      </c>
      <c r="C135" s="20">
        <v>5.62</v>
      </c>
      <c r="D135" s="20">
        <v>89.01</v>
      </c>
      <c r="E135" s="20">
        <v>499</v>
      </c>
      <c r="F135" s="42">
        <v>45184</v>
      </c>
      <c r="G135" s="6">
        <f ca="1">IFERROR(__xludf.DUMMYFUNCTION("IF(E135="""", """", IF(OR(B135=""PURCHASE"", B135=""SWITCH PURCHASE""), E135*-1, E135))
"),-499)</f>
        <v>-499</v>
      </c>
      <c r="I135" s="22"/>
      <c r="N135" s="30"/>
      <c r="P135" s="7">
        <v>45154</v>
      </c>
      <c r="Q135" s="6">
        <v>-199</v>
      </c>
      <c r="S135" s="30"/>
      <c r="W135" s="6"/>
      <c r="Y135" s="6"/>
      <c r="Z135" s="6"/>
    </row>
    <row r="136" spans="1:26" ht="14.5">
      <c r="A136" s="20" t="s">
        <v>44</v>
      </c>
      <c r="B136" s="29" t="s">
        <v>37</v>
      </c>
      <c r="C136" s="20">
        <v>2.21</v>
      </c>
      <c r="D136" s="20">
        <v>90.41</v>
      </c>
      <c r="E136" s="20">
        <v>199</v>
      </c>
      <c r="F136" s="42">
        <v>45184</v>
      </c>
      <c r="G136" s="6">
        <f ca="1">IFERROR(__xludf.DUMMYFUNCTION("IF(E136="""", """", IF(OR(B136=""PURCHASE"", B136=""SWITCH PURCHASE""), E136*-1, E136))
"),-199)</f>
        <v>-199</v>
      </c>
      <c r="I136" s="22"/>
      <c r="N136" s="30"/>
      <c r="P136" s="7">
        <v>45154</v>
      </c>
      <c r="Q136" s="6">
        <v>-499</v>
      </c>
      <c r="S136" s="30"/>
      <c r="W136" s="6"/>
      <c r="Y136" s="6"/>
      <c r="Z136" s="6"/>
    </row>
    <row r="137" spans="1:26" ht="14.5">
      <c r="A137" s="20" t="s">
        <v>59</v>
      </c>
      <c r="B137" s="29" t="s">
        <v>37</v>
      </c>
      <c r="C137" s="20">
        <v>22.67</v>
      </c>
      <c r="D137" s="20">
        <v>22.05</v>
      </c>
      <c r="E137" s="20">
        <v>499</v>
      </c>
      <c r="F137" s="42">
        <v>45184</v>
      </c>
      <c r="G137" s="6">
        <f ca="1">IFERROR(__xludf.DUMMYFUNCTION("IF(E137="""", """", IF(OR(B137=""PURCHASE"", B137=""SWITCH PURCHASE""), E137*-1, E137))
"),-499)</f>
        <v>-499</v>
      </c>
      <c r="I137" s="22"/>
      <c r="N137" s="30"/>
      <c r="P137" s="7">
        <v>45124</v>
      </c>
      <c r="Q137" s="6">
        <v>-100</v>
      </c>
      <c r="S137" s="30"/>
      <c r="W137" s="6"/>
    </row>
    <row r="138" spans="1:26" ht="14.5">
      <c r="A138" s="20" t="s">
        <v>39</v>
      </c>
      <c r="B138" s="29" t="s">
        <v>37</v>
      </c>
      <c r="C138" s="20">
        <v>3.51</v>
      </c>
      <c r="D138" s="20">
        <v>28.52</v>
      </c>
      <c r="E138" s="20">
        <v>100</v>
      </c>
      <c r="F138" s="42">
        <v>45184</v>
      </c>
      <c r="G138" s="6">
        <f ca="1">IFERROR(__xludf.DUMMYFUNCTION("IF(E138="""", """", IF(OR(B138=""PURCHASE"", B138=""SWITCH PURCHASE""), E138*-1, E138))
"),-100)</f>
        <v>-100</v>
      </c>
      <c r="I138" s="22"/>
      <c r="N138" s="30"/>
      <c r="P138" s="7">
        <v>45124</v>
      </c>
      <c r="Q138" s="6">
        <v>-199</v>
      </c>
      <c r="S138" s="30"/>
      <c r="W138" s="6"/>
    </row>
    <row r="139" spans="1:26" ht="14.5">
      <c r="A139" s="20" t="s">
        <v>56</v>
      </c>
      <c r="B139" s="29" t="s">
        <v>37</v>
      </c>
      <c r="C139" s="20">
        <v>4.6900000000000004</v>
      </c>
      <c r="D139" s="20">
        <v>42.67</v>
      </c>
      <c r="E139" s="20">
        <v>199</v>
      </c>
      <c r="F139" s="42">
        <v>45184</v>
      </c>
      <c r="G139" s="6">
        <f ca="1">IFERROR(__xludf.DUMMYFUNCTION("IF(E139="""", """", IF(OR(B139=""PURCHASE"", B139=""SWITCH PURCHASE""), E139*-1, E139))
"),-199)</f>
        <v>-199</v>
      </c>
      <c r="I139" s="22"/>
      <c r="N139" s="30"/>
      <c r="P139" s="7">
        <v>45124</v>
      </c>
      <c r="Q139" s="6">
        <v>-499</v>
      </c>
      <c r="S139" s="30"/>
      <c r="W139" s="6"/>
    </row>
    <row r="140" spans="1:26" ht="14.5">
      <c r="A140" s="20" t="s">
        <v>41</v>
      </c>
      <c r="B140" s="29" t="s">
        <v>37</v>
      </c>
      <c r="C140" s="20">
        <v>18.78</v>
      </c>
      <c r="D140" s="20">
        <v>26.62</v>
      </c>
      <c r="E140" s="20">
        <v>499</v>
      </c>
      <c r="F140" s="42">
        <v>45184</v>
      </c>
      <c r="G140" s="6">
        <f ca="1">IFERROR(__xludf.DUMMYFUNCTION("IF(E140="""", """", IF(OR(B140=""PURCHASE"", B140=""SWITCH PURCHASE""), E140*-1, E140))
"),-499)</f>
        <v>-499</v>
      </c>
      <c r="I140" s="22"/>
      <c r="N140" s="30"/>
      <c r="P140" s="7">
        <v>45124</v>
      </c>
      <c r="Q140" s="6">
        <v>-199</v>
      </c>
      <c r="S140" s="30"/>
      <c r="W140" s="6"/>
    </row>
    <row r="141" spans="1:26" ht="14.5">
      <c r="A141" s="20" t="s">
        <v>44</v>
      </c>
      <c r="B141" s="29" t="s">
        <v>37</v>
      </c>
      <c r="C141" s="20">
        <v>2.31</v>
      </c>
      <c r="D141" s="20">
        <v>86.54</v>
      </c>
      <c r="E141" s="20">
        <v>199</v>
      </c>
      <c r="F141" s="42">
        <v>45154</v>
      </c>
      <c r="G141" s="6">
        <f ca="1">IFERROR(__xludf.DUMMYFUNCTION("IF(E141="""", """", IF(OR(B141=""PURCHASE"", B141=""SWITCH PURCHASE""), E141*-1, E141))
"),-199)</f>
        <v>-199</v>
      </c>
      <c r="I141" s="22"/>
      <c r="N141" s="30"/>
      <c r="P141" s="7">
        <v>45124</v>
      </c>
      <c r="Q141" s="6">
        <v>-499</v>
      </c>
      <c r="S141" s="30"/>
      <c r="W141" s="6"/>
    </row>
    <row r="142" spans="1:26" ht="14.5">
      <c r="A142" s="20" t="s">
        <v>45</v>
      </c>
      <c r="B142" s="29" t="s">
        <v>37</v>
      </c>
      <c r="C142" s="20">
        <v>5.96</v>
      </c>
      <c r="D142" s="20">
        <v>83.95</v>
      </c>
      <c r="E142" s="20">
        <v>499</v>
      </c>
      <c r="F142" s="42">
        <v>45154</v>
      </c>
      <c r="G142" s="6">
        <f ca="1">IFERROR(__xludf.DUMMYFUNCTION("IF(E142="""", """", IF(OR(B142=""PURCHASE"", B142=""SWITCH PURCHASE""), E142*-1, E142))
"),-499)</f>
        <v>-499</v>
      </c>
      <c r="I142" s="22"/>
      <c r="N142" s="30"/>
      <c r="P142" s="7">
        <v>45124</v>
      </c>
      <c r="Q142" s="6">
        <v>-499</v>
      </c>
      <c r="S142" s="30"/>
      <c r="W142" s="6"/>
    </row>
    <row r="143" spans="1:26" ht="14.5">
      <c r="A143" s="20" t="s">
        <v>39</v>
      </c>
      <c r="B143" s="29" t="s">
        <v>37</v>
      </c>
      <c r="C143" s="20">
        <v>3.53</v>
      </c>
      <c r="D143" s="20">
        <v>28.31</v>
      </c>
      <c r="E143" s="20">
        <v>100</v>
      </c>
      <c r="F143" s="42">
        <v>45154</v>
      </c>
      <c r="G143" s="6">
        <f ca="1">IFERROR(__xludf.DUMMYFUNCTION("IF(E143="""", """", IF(OR(B143=""PURCHASE"", B143=""SWITCH PURCHASE""), E143*-1, E143))
"),-100)</f>
        <v>-100</v>
      </c>
      <c r="I143" s="22"/>
      <c r="N143" s="30"/>
      <c r="P143" s="7">
        <v>45092</v>
      </c>
      <c r="Q143" s="6">
        <v>-499</v>
      </c>
      <c r="S143" s="30"/>
      <c r="W143" s="6"/>
    </row>
    <row r="144" spans="1:26" ht="14.5">
      <c r="A144" s="20" t="s">
        <v>41</v>
      </c>
      <c r="B144" s="29" t="s">
        <v>37</v>
      </c>
      <c r="C144" s="20">
        <v>19.46</v>
      </c>
      <c r="D144" s="20">
        <v>25.69</v>
      </c>
      <c r="E144" s="20">
        <v>499</v>
      </c>
      <c r="F144" s="42">
        <v>45154</v>
      </c>
      <c r="G144" s="6">
        <f ca="1">IFERROR(__xludf.DUMMYFUNCTION("IF(E144="""", """", IF(OR(B144=""PURCHASE"", B144=""SWITCH PURCHASE""), E144*-1, E144))
"),-499)</f>
        <v>-499</v>
      </c>
      <c r="I144" s="22"/>
      <c r="N144" s="30"/>
      <c r="P144" s="7">
        <v>45092</v>
      </c>
      <c r="Q144" s="6">
        <v>-199</v>
      </c>
      <c r="S144" s="30"/>
      <c r="W144" s="6"/>
    </row>
    <row r="145" spans="1:24" ht="14.5">
      <c r="A145" s="20" t="s">
        <v>56</v>
      </c>
      <c r="B145" s="29" t="s">
        <v>37</v>
      </c>
      <c r="C145" s="20">
        <v>5.03</v>
      </c>
      <c r="D145" s="20">
        <v>39.76</v>
      </c>
      <c r="E145" s="20">
        <v>199</v>
      </c>
      <c r="F145" s="42">
        <v>45154</v>
      </c>
      <c r="G145" s="6">
        <f ca="1">IFERROR(__xludf.DUMMYFUNCTION("IF(E145="""", """", IF(OR(B145=""PURCHASE"", B145=""SWITCH PURCHASE""), E145*-1, E145))
"),-199)</f>
        <v>-199</v>
      </c>
      <c r="I145" s="22"/>
      <c r="N145" s="30"/>
      <c r="P145" s="7">
        <v>45092</v>
      </c>
      <c r="Q145" s="6">
        <v>-499</v>
      </c>
      <c r="S145" s="30"/>
      <c r="W145" s="6"/>
    </row>
    <row r="146" spans="1:24" ht="14.5">
      <c r="A146" s="20" t="s">
        <v>59</v>
      </c>
      <c r="B146" s="29" t="s">
        <v>37</v>
      </c>
      <c r="C146" s="20">
        <v>23.61</v>
      </c>
      <c r="D146" s="20">
        <v>21.17</v>
      </c>
      <c r="E146" s="20">
        <v>499</v>
      </c>
      <c r="F146" s="42">
        <v>45154</v>
      </c>
      <c r="G146" s="6">
        <f ca="1">IFERROR(__xludf.DUMMYFUNCTION("IF(E146="""", """", IF(OR(B146=""PURCHASE"", B146=""SWITCH PURCHASE""), E146*-1, E146))
"),-499)</f>
        <v>-499</v>
      </c>
      <c r="I146" s="22"/>
      <c r="N146" s="30"/>
      <c r="P146" s="7">
        <v>45092</v>
      </c>
      <c r="Q146" s="6">
        <v>-199</v>
      </c>
      <c r="S146" s="30"/>
      <c r="W146" s="6"/>
    </row>
    <row r="147" spans="1:24" ht="14.5">
      <c r="A147" s="20" t="s">
        <v>39</v>
      </c>
      <c r="B147" s="29" t="s">
        <v>37</v>
      </c>
      <c r="C147" s="20">
        <v>3.55</v>
      </c>
      <c r="D147" s="20">
        <v>28.2</v>
      </c>
      <c r="E147" s="20">
        <v>100</v>
      </c>
      <c r="F147" s="42">
        <v>45124</v>
      </c>
      <c r="G147" s="6">
        <f ca="1">IFERROR(__xludf.DUMMYFUNCTION("IF(E147="""", """", IF(OR(B147=""PURCHASE"", B147=""SWITCH PURCHASE""), E147*-1, E147))
"),-100)</f>
        <v>-100</v>
      </c>
      <c r="I147" s="22"/>
      <c r="N147" s="30"/>
      <c r="P147" s="7">
        <v>45092</v>
      </c>
      <c r="Q147" s="6">
        <v>-499</v>
      </c>
      <c r="S147" s="30"/>
      <c r="W147" s="6"/>
    </row>
    <row r="148" spans="1:24" ht="14.5">
      <c r="A148" s="20" t="s">
        <v>44</v>
      </c>
      <c r="B148" s="29" t="s">
        <v>37</v>
      </c>
      <c r="C148" s="20">
        <v>2.34</v>
      </c>
      <c r="D148" s="20">
        <v>85.63</v>
      </c>
      <c r="E148" s="20">
        <v>199</v>
      </c>
      <c r="F148" s="42">
        <v>45124</v>
      </c>
      <c r="G148" s="6">
        <f ca="1">IFERROR(__xludf.DUMMYFUNCTION("IF(E148="""", """", IF(OR(B148=""PURCHASE"", B148=""SWITCH PURCHASE""), E148*-1, E148))
"),-199)</f>
        <v>-199</v>
      </c>
      <c r="I148" s="22"/>
      <c r="N148" s="30"/>
      <c r="P148" s="7">
        <v>45092</v>
      </c>
      <c r="Q148" s="6">
        <v>-100</v>
      </c>
      <c r="S148" s="30"/>
      <c r="W148" s="6"/>
    </row>
    <row r="149" spans="1:24" ht="14.5">
      <c r="A149" s="20" t="s">
        <v>45</v>
      </c>
      <c r="B149" s="29" t="s">
        <v>37</v>
      </c>
      <c r="C149" s="20">
        <v>5.99</v>
      </c>
      <c r="D149" s="20">
        <v>83.5</v>
      </c>
      <c r="E149" s="20">
        <v>499</v>
      </c>
      <c r="F149" s="42">
        <v>45124</v>
      </c>
      <c r="G149" s="6">
        <f ca="1">IFERROR(__xludf.DUMMYFUNCTION("IF(E149="""", """", IF(OR(B149=""PURCHASE"", B149=""SWITCH PURCHASE""), E149*-1, E149))
"),-499)</f>
        <v>-499</v>
      </c>
      <c r="I149" s="22"/>
      <c r="N149" s="30"/>
      <c r="P149" s="7">
        <v>45061</v>
      </c>
      <c r="Q149" s="6">
        <v>-100</v>
      </c>
      <c r="S149" s="30"/>
      <c r="W149" s="6"/>
    </row>
    <row r="150" spans="1:24" ht="14.5">
      <c r="A150" s="20" t="s">
        <v>56</v>
      </c>
      <c r="B150" s="29" t="s">
        <v>37</v>
      </c>
      <c r="C150" s="20">
        <v>5.04</v>
      </c>
      <c r="D150" s="20">
        <v>39.69</v>
      </c>
      <c r="E150" s="20">
        <v>199</v>
      </c>
      <c r="F150" s="42">
        <v>45124</v>
      </c>
      <c r="G150" s="6">
        <f ca="1">IFERROR(__xludf.DUMMYFUNCTION("IF(E150="""", """", IF(OR(B150=""PURCHASE"", B150=""SWITCH PURCHASE""), E150*-1, E150))
"),-199)</f>
        <v>-199</v>
      </c>
      <c r="I150" s="22"/>
      <c r="N150" s="30"/>
      <c r="P150" s="7">
        <v>45061</v>
      </c>
      <c r="Q150" s="6">
        <v>-499</v>
      </c>
      <c r="S150" s="30"/>
      <c r="W150" s="6"/>
    </row>
    <row r="151" spans="1:24" ht="14.5">
      <c r="A151" s="20" t="s">
        <v>59</v>
      </c>
      <c r="B151" s="29" t="s">
        <v>37</v>
      </c>
      <c r="C151" s="20">
        <v>23.16</v>
      </c>
      <c r="D151" s="20">
        <v>21.59</v>
      </c>
      <c r="E151" s="20">
        <v>499</v>
      </c>
      <c r="F151" s="42">
        <v>45124</v>
      </c>
      <c r="G151" s="6">
        <f ca="1">IFERROR(__xludf.DUMMYFUNCTION("IF(E151="""", """", IF(OR(B151=""PURCHASE"", B151=""SWITCH PURCHASE""), E151*-1, E151))
"),-499)</f>
        <v>-499</v>
      </c>
      <c r="I151" s="22"/>
      <c r="N151" s="30"/>
      <c r="P151" s="7">
        <v>45061</v>
      </c>
      <c r="Q151" s="6">
        <v>-499</v>
      </c>
      <c r="S151" s="30"/>
      <c r="W151" s="6"/>
    </row>
    <row r="152" spans="1:24" ht="14.5">
      <c r="A152" s="20" t="s">
        <v>41</v>
      </c>
      <c r="B152" s="29" t="s">
        <v>37</v>
      </c>
      <c r="C152" s="20">
        <v>18.86</v>
      </c>
      <c r="D152" s="20">
        <v>26.51</v>
      </c>
      <c r="E152" s="20">
        <v>499</v>
      </c>
      <c r="F152" s="42">
        <v>45124</v>
      </c>
      <c r="G152" s="6">
        <f ca="1">IFERROR(__xludf.DUMMYFUNCTION("IF(E152="""", """", IF(OR(B152=""PURCHASE"", B152=""SWITCH PURCHASE""), E152*-1, E152))
"),-499)</f>
        <v>-499</v>
      </c>
      <c r="I152" s="22"/>
      <c r="N152" s="30"/>
      <c r="P152" s="7">
        <v>45061</v>
      </c>
      <c r="Q152" s="6">
        <v>-199</v>
      </c>
      <c r="S152" s="30"/>
      <c r="W152" s="6"/>
      <c r="X152" s="6"/>
    </row>
    <row r="153" spans="1:24" ht="14.5">
      <c r="A153" s="20" t="s">
        <v>45</v>
      </c>
      <c r="B153" s="29" t="s">
        <v>37</v>
      </c>
      <c r="C153" s="20">
        <v>6.18</v>
      </c>
      <c r="D153" s="20">
        <v>80.92</v>
      </c>
      <c r="E153" s="20">
        <v>499</v>
      </c>
      <c r="F153" s="42">
        <v>45092</v>
      </c>
      <c r="G153" s="6">
        <f ca="1">IFERROR(__xludf.DUMMYFUNCTION("IF(E153="""", """", IF(OR(B153=""PURCHASE"", B153=""SWITCH PURCHASE""), E153*-1, E153))
"),-499)</f>
        <v>-499</v>
      </c>
      <c r="I153" s="22"/>
      <c r="N153" s="30"/>
      <c r="P153" s="7">
        <v>45061</v>
      </c>
      <c r="Q153" s="6">
        <v>-499</v>
      </c>
      <c r="S153" s="30"/>
      <c r="W153" s="6"/>
    </row>
    <row r="154" spans="1:24" ht="14.5">
      <c r="A154" s="20" t="s">
        <v>44</v>
      </c>
      <c r="B154" s="29" t="s">
        <v>37</v>
      </c>
      <c r="C154" s="20">
        <v>2.39</v>
      </c>
      <c r="D154" s="20">
        <v>83.63</v>
      </c>
      <c r="E154" s="20">
        <v>199</v>
      </c>
      <c r="F154" s="42">
        <v>45092</v>
      </c>
      <c r="G154" s="6">
        <f ca="1">IFERROR(__xludf.DUMMYFUNCTION("IF(E154="""", """", IF(OR(B154=""PURCHASE"", B154=""SWITCH PURCHASE""), E154*-1, E154))
"),-199)</f>
        <v>-199</v>
      </c>
      <c r="I154" s="22"/>
      <c r="N154" s="30"/>
      <c r="P154" s="7">
        <v>45061</v>
      </c>
      <c r="Q154" s="6">
        <v>-199</v>
      </c>
      <c r="S154" s="30"/>
      <c r="W154" s="6"/>
    </row>
    <row r="155" spans="1:24" ht="14.5">
      <c r="A155" s="20" t="s">
        <v>41</v>
      </c>
      <c r="B155" s="29" t="s">
        <v>37</v>
      </c>
      <c r="C155" s="20">
        <v>19.37</v>
      </c>
      <c r="D155" s="20">
        <v>25.81</v>
      </c>
      <c r="E155" s="20">
        <v>499</v>
      </c>
      <c r="F155" s="42">
        <v>45092</v>
      </c>
      <c r="G155" s="6">
        <f ca="1">IFERROR(__xludf.DUMMYFUNCTION("IF(E155="""", """", IF(OR(B155=""PURCHASE"", B155=""SWITCH PURCHASE""), E155*-1, E155))
"),-499)</f>
        <v>-499</v>
      </c>
      <c r="I155" s="22"/>
      <c r="N155" s="30"/>
      <c r="P155" s="7">
        <v>45033</v>
      </c>
      <c r="Q155" s="6">
        <v>-199</v>
      </c>
      <c r="S155" s="30"/>
      <c r="W155" s="6"/>
    </row>
    <row r="156" spans="1:24" ht="14.5">
      <c r="A156" s="20" t="s">
        <v>56</v>
      </c>
      <c r="B156" s="29" t="s">
        <v>37</v>
      </c>
      <c r="C156" s="20">
        <v>5.39</v>
      </c>
      <c r="D156" s="20">
        <v>37.08</v>
      </c>
      <c r="E156" s="20">
        <v>199</v>
      </c>
      <c r="F156" s="42">
        <v>45092</v>
      </c>
      <c r="G156" s="6">
        <f ca="1">IFERROR(__xludf.DUMMYFUNCTION("IF(E156="""", """", IF(OR(B156=""PURCHASE"", B156=""SWITCH PURCHASE""), E156*-1, E156))
"),-199)</f>
        <v>-199</v>
      </c>
      <c r="I156" s="22"/>
      <c r="N156" s="30"/>
      <c r="P156" s="7">
        <v>45033</v>
      </c>
      <c r="Q156" s="6">
        <v>-499</v>
      </c>
      <c r="S156" s="30"/>
      <c r="W156" s="6"/>
    </row>
    <row r="157" spans="1:24" ht="14.5">
      <c r="A157" s="20" t="s">
        <v>59</v>
      </c>
      <c r="B157" s="29" t="s">
        <v>37</v>
      </c>
      <c r="C157" s="20">
        <v>24.36</v>
      </c>
      <c r="D157" s="20">
        <v>20.53</v>
      </c>
      <c r="E157" s="20">
        <v>499</v>
      </c>
      <c r="F157" s="42">
        <v>45092</v>
      </c>
      <c r="G157" s="6">
        <f ca="1">IFERROR(__xludf.DUMMYFUNCTION("IF(E157="""", """", IF(OR(B157=""PURCHASE"", B157=""SWITCH PURCHASE""), E157*-1, E157))
"),-499)</f>
        <v>-499</v>
      </c>
      <c r="I157" s="22"/>
      <c r="N157" s="30"/>
      <c r="P157" s="7">
        <v>45033</v>
      </c>
      <c r="Q157" s="6">
        <v>-499</v>
      </c>
      <c r="S157" s="30"/>
      <c r="W157" s="6"/>
    </row>
    <row r="158" spans="1:24" ht="14.5">
      <c r="A158" s="20" t="s">
        <v>39</v>
      </c>
      <c r="B158" s="29" t="s">
        <v>37</v>
      </c>
      <c r="C158" s="20">
        <v>3.57</v>
      </c>
      <c r="D158" s="20">
        <v>28.04</v>
      </c>
      <c r="E158" s="20">
        <v>100</v>
      </c>
      <c r="F158" s="42">
        <v>45092</v>
      </c>
      <c r="G158" s="6">
        <f ca="1">IFERROR(__xludf.DUMMYFUNCTION("IF(E158="""", """", IF(OR(B158=""PURCHASE"", B158=""SWITCH PURCHASE""), E158*-1, E158))
"),-100)</f>
        <v>-100</v>
      </c>
      <c r="I158" s="22"/>
      <c r="N158" s="30"/>
      <c r="P158" s="7">
        <v>45033</v>
      </c>
      <c r="Q158" s="6">
        <v>-100</v>
      </c>
      <c r="S158" s="30"/>
      <c r="W158" s="6"/>
    </row>
    <row r="159" spans="1:24" ht="14.5">
      <c r="A159" s="20" t="s">
        <v>39</v>
      </c>
      <c r="B159" s="29" t="s">
        <v>37</v>
      </c>
      <c r="C159" s="20">
        <v>3.59</v>
      </c>
      <c r="D159" s="20">
        <v>27.87</v>
      </c>
      <c r="E159" s="20">
        <v>100</v>
      </c>
      <c r="F159" s="52">
        <v>45061</v>
      </c>
      <c r="G159" s="6">
        <f ca="1">IFERROR(__xludf.DUMMYFUNCTION("IF(E159="""", """", IF(OR(B159=""PURCHASE"", B159=""SWITCH PURCHASE""), E159*-1, E159))
"),-100)</f>
        <v>-100</v>
      </c>
      <c r="I159" s="53"/>
      <c r="N159" s="30"/>
      <c r="P159" s="7">
        <v>45033</v>
      </c>
      <c r="Q159" s="6">
        <v>-499</v>
      </c>
      <c r="S159" s="30"/>
      <c r="W159" s="6"/>
    </row>
    <row r="160" spans="1:24" ht="14.5">
      <c r="A160" s="20" t="s">
        <v>59</v>
      </c>
      <c r="B160" s="29" t="s">
        <v>37</v>
      </c>
      <c r="C160" s="20">
        <v>24.88</v>
      </c>
      <c r="D160" s="20">
        <v>20.09</v>
      </c>
      <c r="E160" s="20">
        <v>499</v>
      </c>
      <c r="F160" s="52">
        <v>45061</v>
      </c>
      <c r="G160" s="6">
        <f ca="1">IFERROR(__xludf.DUMMYFUNCTION("IF(E160="""", """", IF(OR(B160=""PURCHASE"", B160=""SWITCH PURCHASE""), E160*-1, E160))
"),-499)</f>
        <v>-499</v>
      </c>
      <c r="I160" s="53"/>
      <c r="N160" s="30"/>
      <c r="P160" s="7">
        <v>45033</v>
      </c>
      <c r="Q160" s="6">
        <v>-199</v>
      </c>
      <c r="S160" s="30"/>
      <c r="W160" s="6"/>
    </row>
    <row r="161" spans="1:23" ht="14.5">
      <c r="A161" s="20" t="s">
        <v>45</v>
      </c>
      <c r="B161" s="29" t="s">
        <v>37</v>
      </c>
      <c r="C161" s="20">
        <v>6.69</v>
      </c>
      <c r="D161" s="20">
        <v>74.78</v>
      </c>
      <c r="E161" s="20">
        <v>499</v>
      </c>
      <c r="F161" s="52">
        <v>45061</v>
      </c>
      <c r="G161" s="6">
        <f ca="1">IFERROR(__xludf.DUMMYFUNCTION("IF(E161="""", """", IF(OR(B161=""PURCHASE"", B161=""SWITCH PURCHASE""), E161*-1, E161))
"),-499)</f>
        <v>-499</v>
      </c>
      <c r="I161" s="53"/>
      <c r="N161" s="30"/>
      <c r="P161" s="7">
        <v>45000</v>
      </c>
      <c r="Q161" s="6">
        <v>-199</v>
      </c>
      <c r="S161" s="30"/>
      <c r="W161" s="6"/>
    </row>
    <row r="162" spans="1:23" ht="14.5">
      <c r="A162" s="20" t="s">
        <v>56</v>
      </c>
      <c r="B162" s="29" t="s">
        <v>37</v>
      </c>
      <c r="C162" s="20">
        <v>5.63</v>
      </c>
      <c r="D162" s="20">
        <v>35.520000000000003</v>
      </c>
      <c r="E162" s="20">
        <v>199</v>
      </c>
      <c r="F162" s="52">
        <v>45061</v>
      </c>
      <c r="G162" s="6">
        <f ca="1">IFERROR(__xludf.DUMMYFUNCTION("IF(E162="""", """", IF(OR(B162=""PURCHASE"", B162=""SWITCH PURCHASE""), E162*-1, E162))
"),-199)</f>
        <v>-199</v>
      </c>
      <c r="I162" s="53"/>
      <c r="N162" s="30"/>
      <c r="P162" s="7">
        <v>45000</v>
      </c>
      <c r="Q162" s="6">
        <v>-499</v>
      </c>
      <c r="S162" s="30"/>
      <c r="W162" s="6"/>
    </row>
    <row r="163" spans="1:23" ht="14.5">
      <c r="A163" s="20" t="s">
        <v>41</v>
      </c>
      <c r="B163" s="29" t="s">
        <v>37</v>
      </c>
      <c r="C163" s="20">
        <v>21.96</v>
      </c>
      <c r="D163" s="20">
        <v>22.77</v>
      </c>
      <c r="E163" s="20">
        <v>499</v>
      </c>
      <c r="F163" s="52">
        <v>45061</v>
      </c>
      <c r="G163" s="6">
        <f ca="1">IFERROR(__xludf.DUMMYFUNCTION("IF(E163="""", """", IF(OR(B163=""PURCHASE"", B163=""SWITCH PURCHASE""), E163*-1, E163))
"),-499)</f>
        <v>-499</v>
      </c>
      <c r="I163" s="53"/>
      <c r="N163" s="30"/>
      <c r="P163" s="7">
        <v>45000</v>
      </c>
      <c r="Q163" s="6">
        <v>-100</v>
      </c>
      <c r="S163" s="30"/>
      <c r="W163" s="6"/>
    </row>
    <row r="164" spans="1:23" ht="14.5">
      <c r="A164" s="20" t="s">
        <v>44</v>
      </c>
      <c r="B164" s="29" t="s">
        <v>37</v>
      </c>
      <c r="C164" s="20">
        <v>2.5499999999999998</v>
      </c>
      <c r="D164" s="20">
        <v>78.55</v>
      </c>
      <c r="E164" s="20">
        <v>199</v>
      </c>
      <c r="F164" s="52">
        <v>45061</v>
      </c>
      <c r="G164" s="6">
        <f ca="1">IFERROR(__xludf.DUMMYFUNCTION("IF(E164="""", """", IF(OR(B164=""PURCHASE"", B164=""SWITCH PURCHASE""), E164*-1, E164))
"),-199)</f>
        <v>-199</v>
      </c>
      <c r="I164" s="53"/>
      <c r="N164" s="30"/>
      <c r="P164" s="7">
        <v>45000</v>
      </c>
      <c r="Q164" s="6">
        <v>-499</v>
      </c>
      <c r="S164" s="30"/>
      <c r="W164" s="6"/>
    </row>
    <row r="165" spans="1:23" ht="14.5">
      <c r="A165" s="20" t="s">
        <v>44</v>
      </c>
      <c r="B165" s="29" t="s">
        <v>37</v>
      </c>
      <c r="C165" s="20">
        <v>2.67</v>
      </c>
      <c r="D165" s="20">
        <v>74.81</v>
      </c>
      <c r="E165" s="20">
        <v>199</v>
      </c>
      <c r="F165" s="42">
        <v>45033</v>
      </c>
      <c r="G165" s="6">
        <f ca="1">IFERROR(__xludf.DUMMYFUNCTION("IF(E165="""", """", IF(OR(B165=""PURCHASE"", B165=""SWITCH PURCHASE""), E165*-1, E165))
"),-199)</f>
        <v>-199</v>
      </c>
      <c r="I165" s="22"/>
      <c r="N165" s="30"/>
      <c r="P165" s="7">
        <v>45000</v>
      </c>
      <c r="Q165" s="6">
        <v>-499</v>
      </c>
      <c r="S165" s="30"/>
      <c r="W165" s="6"/>
    </row>
    <row r="166" spans="1:23" ht="14.5">
      <c r="A166" s="20" t="s">
        <v>59</v>
      </c>
      <c r="B166" s="29" t="s">
        <v>37</v>
      </c>
      <c r="C166" s="20">
        <v>25.9</v>
      </c>
      <c r="D166" s="20">
        <v>19.309999999999999</v>
      </c>
      <c r="E166" s="20">
        <v>499</v>
      </c>
      <c r="F166" s="42">
        <v>45033</v>
      </c>
      <c r="G166" s="6">
        <f ca="1">IFERROR(__xludf.DUMMYFUNCTION("IF(E166="""", """", IF(OR(B166=""PURCHASE"", B166=""SWITCH PURCHASE""), E166*-1, E166))
"),-499)</f>
        <v>-499</v>
      </c>
      <c r="I166" s="22"/>
      <c r="N166" s="30"/>
      <c r="P166" s="7">
        <v>44977</v>
      </c>
      <c r="Q166" s="6">
        <v>-199</v>
      </c>
      <c r="S166" s="30"/>
      <c r="W166" s="6"/>
    </row>
    <row r="167" spans="1:23" ht="14.5">
      <c r="A167" s="20" t="s">
        <v>45</v>
      </c>
      <c r="B167" s="29" t="s">
        <v>37</v>
      </c>
      <c r="C167" s="20">
        <v>7.01</v>
      </c>
      <c r="D167" s="20">
        <v>71.31</v>
      </c>
      <c r="E167" s="20">
        <v>499</v>
      </c>
      <c r="F167" s="42">
        <v>45033</v>
      </c>
      <c r="G167" s="6">
        <f ca="1">IFERROR(__xludf.DUMMYFUNCTION("IF(E167="""", """", IF(OR(B167=""PURCHASE"", B167=""SWITCH PURCHASE""), E167*-1, E167))
"),-499)</f>
        <v>-499</v>
      </c>
      <c r="I167" s="22"/>
      <c r="N167" s="30"/>
      <c r="P167" s="7">
        <v>44972</v>
      </c>
      <c r="Q167" s="6">
        <v>-499</v>
      </c>
      <c r="S167" s="30"/>
      <c r="W167" s="6"/>
    </row>
    <row r="168" spans="1:23" ht="14.5">
      <c r="A168" s="20" t="s">
        <v>39</v>
      </c>
      <c r="B168" s="29" t="s">
        <v>37</v>
      </c>
      <c r="C168" s="20">
        <v>3.62</v>
      </c>
      <c r="D168" s="20">
        <v>27.65</v>
      </c>
      <c r="E168" s="20">
        <v>100</v>
      </c>
      <c r="F168" s="42">
        <v>45033</v>
      </c>
      <c r="G168" s="6">
        <f ca="1">IFERROR(__xludf.DUMMYFUNCTION("IF(E168="""", """", IF(OR(B168=""PURCHASE"", B168=""SWITCH PURCHASE""), E168*-1, E168))
"),-100)</f>
        <v>-100</v>
      </c>
      <c r="I168" s="22"/>
      <c r="N168" s="30"/>
      <c r="P168" s="7">
        <v>44972</v>
      </c>
      <c r="Q168" s="6">
        <v>-499</v>
      </c>
      <c r="S168" s="30"/>
      <c r="W168" s="6"/>
    </row>
    <row r="169" spans="1:23" ht="14.5">
      <c r="A169" s="20" t="s">
        <v>41</v>
      </c>
      <c r="B169" s="29" t="s">
        <v>37</v>
      </c>
      <c r="C169" s="20">
        <v>22.53</v>
      </c>
      <c r="D169" s="20">
        <v>22.2</v>
      </c>
      <c r="E169" s="20">
        <v>499</v>
      </c>
      <c r="F169" s="42">
        <v>45033</v>
      </c>
      <c r="G169" s="6">
        <f ca="1">IFERROR(__xludf.DUMMYFUNCTION("IF(E169="""", """", IF(OR(B169=""PURCHASE"", B169=""SWITCH PURCHASE""), E169*-1, E169))
"),-499)</f>
        <v>-499</v>
      </c>
      <c r="I169" s="22"/>
      <c r="N169" s="30"/>
      <c r="P169" s="7">
        <v>44972</v>
      </c>
      <c r="Q169" s="6">
        <v>-199</v>
      </c>
      <c r="S169" s="30"/>
      <c r="W169" s="6"/>
    </row>
    <row r="170" spans="1:23" ht="14.5">
      <c r="A170" s="20" t="s">
        <v>56</v>
      </c>
      <c r="B170" s="29" t="s">
        <v>37</v>
      </c>
      <c r="C170" s="20">
        <v>5.91</v>
      </c>
      <c r="D170" s="20">
        <v>33.840000000000003</v>
      </c>
      <c r="E170" s="20">
        <v>199</v>
      </c>
      <c r="F170" s="42">
        <v>45033</v>
      </c>
      <c r="G170" s="6">
        <f ca="1">IFERROR(__xludf.DUMMYFUNCTION("IF(E170="""", """", IF(OR(B170=""PURCHASE"", B170=""SWITCH PURCHASE""), E170*-1, E170))
"),-199)</f>
        <v>-199</v>
      </c>
      <c r="I170" s="22"/>
      <c r="N170" s="30"/>
      <c r="P170" s="7">
        <v>44972</v>
      </c>
      <c r="Q170" s="6">
        <v>-499</v>
      </c>
      <c r="S170" s="30"/>
      <c r="W170" s="6"/>
    </row>
    <row r="171" spans="1:23" ht="14.5">
      <c r="A171" s="20" t="s">
        <v>56</v>
      </c>
      <c r="B171" s="29" t="s">
        <v>37</v>
      </c>
      <c r="C171" s="20">
        <v>5.69</v>
      </c>
      <c r="D171" s="20">
        <v>35.15</v>
      </c>
      <c r="E171" s="20">
        <v>199</v>
      </c>
      <c r="F171" s="42">
        <v>45000</v>
      </c>
      <c r="G171" s="6">
        <f ca="1">IFERROR(__xludf.DUMMYFUNCTION("IF(E171="""", """", IF(OR(B171=""PURCHASE"", B171=""SWITCH PURCHASE""), E171*-1, E171))
"),-199)</f>
        <v>-199</v>
      </c>
      <c r="I171" s="22"/>
      <c r="N171" s="30"/>
      <c r="P171" s="7">
        <v>44960</v>
      </c>
      <c r="Q171" s="6">
        <v>-999</v>
      </c>
      <c r="S171" s="30"/>
      <c r="W171" s="6"/>
    </row>
    <row r="172" spans="1:23" ht="14.5">
      <c r="A172" s="20" t="s">
        <v>59</v>
      </c>
      <c r="B172" s="29" t="s">
        <v>37</v>
      </c>
      <c r="C172" s="20">
        <v>26.94</v>
      </c>
      <c r="D172" s="20">
        <v>18.559999999999999</v>
      </c>
      <c r="E172" s="20">
        <v>499</v>
      </c>
      <c r="F172" s="42">
        <v>45000</v>
      </c>
      <c r="G172" s="6">
        <f ca="1">IFERROR(__xludf.DUMMYFUNCTION("IF(E172="""", """", IF(OR(B172=""PURCHASE"", B172=""SWITCH PURCHASE""), E172*-1, E172))
"),-499)</f>
        <v>-499</v>
      </c>
      <c r="I172" s="22"/>
      <c r="N172" s="30"/>
      <c r="P172" s="7">
        <v>44960</v>
      </c>
      <c r="Q172" s="6">
        <v>-100</v>
      </c>
      <c r="S172" s="30"/>
      <c r="W172" s="6"/>
    </row>
    <row r="173" spans="1:23" ht="14.5">
      <c r="A173" s="20" t="s">
        <v>39</v>
      </c>
      <c r="B173" s="29" t="s">
        <v>37</v>
      </c>
      <c r="C173" s="20">
        <v>3.65</v>
      </c>
      <c r="D173" s="20">
        <v>27.36</v>
      </c>
      <c r="E173" s="20">
        <v>100</v>
      </c>
      <c r="F173" s="42">
        <v>45000</v>
      </c>
      <c r="G173" s="6">
        <f ca="1">IFERROR(__xludf.DUMMYFUNCTION("IF(E173="""", """", IF(OR(B173=""PURCHASE"", B173=""SWITCH PURCHASE""), E173*-1, E173))
"),-100)</f>
        <v>-100</v>
      </c>
      <c r="I173" s="22"/>
      <c r="N173" s="30"/>
      <c r="P173" s="7">
        <v>44942</v>
      </c>
      <c r="Q173" s="6">
        <v>-499</v>
      </c>
      <c r="S173" s="30"/>
      <c r="W173" s="6"/>
    </row>
    <row r="174" spans="1:23" ht="14.5">
      <c r="A174" s="20" t="s">
        <v>41</v>
      </c>
      <c r="B174" s="29" t="s">
        <v>37</v>
      </c>
      <c r="C174" s="20">
        <v>23.76</v>
      </c>
      <c r="D174" s="20">
        <v>21.04</v>
      </c>
      <c r="E174" s="20">
        <v>499</v>
      </c>
      <c r="F174" s="42">
        <v>45000</v>
      </c>
      <c r="G174" s="6">
        <f ca="1">IFERROR(__xludf.DUMMYFUNCTION("IF(E174="""", """", IF(OR(B174=""PURCHASE"", B174=""SWITCH PURCHASE""), E174*-1, E174))
"),-499)</f>
        <v>-499</v>
      </c>
      <c r="I174" s="22"/>
      <c r="N174" s="30"/>
      <c r="P174" s="7">
        <v>44942</v>
      </c>
      <c r="Q174" s="6">
        <v>-499</v>
      </c>
      <c r="S174" s="30"/>
      <c r="W174" s="6"/>
    </row>
    <row r="175" spans="1:23" ht="14.5">
      <c r="A175" s="20" t="s">
        <v>45</v>
      </c>
      <c r="B175" s="29" t="s">
        <v>37</v>
      </c>
      <c r="C175" s="20">
        <v>7.25</v>
      </c>
      <c r="D175" s="20">
        <v>69.010000000000005</v>
      </c>
      <c r="E175" s="20">
        <v>499</v>
      </c>
      <c r="F175" s="42">
        <v>45000</v>
      </c>
      <c r="G175" s="6">
        <f ca="1">IFERROR(__xludf.DUMMYFUNCTION("IF(E175="""", """", IF(OR(B175=""PURCHASE"", B175=""SWITCH PURCHASE""), E175*-1, E175))
"),-499)</f>
        <v>-499</v>
      </c>
      <c r="I175" s="22"/>
      <c r="N175" s="30"/>
      <c r="P175" s="7">
        <v>44942</v>
      </c>
      <c r="Q175" s="6">
        <v>-499</v>
      </c>
      <c r="S175" s="30"/>
      <c r="W175" s="6"/>
    </row>
    <row r="176" spans="1:23" ht="14.5">
      <c r="A176" s="20" t="s">
        <v>44</v>
      </c>
      <c r="B176" s="29" t="s">
        <v>37</v>
      </c>
      <c r="C176" s="20">
        <v>2.65</v>
      </c>
      <c r="D176" s="20">
        <v>75.55</v>
      </c>
      <c r="E176" s="20">
        <v>199</v>
      </c>
      <c r="F176" s="42">
        <v>44977</v>
      </c>
      <c r="G176" s="6">
        <f ca="1">IFERROR(__xludf.DUMMYFUNCTION("IF(E176="""", """", IF(OR(B176=""PURCHASE"", B176=""SWITCH PURCHASE""), E176*-1, E176))
"),-199)</f>
        <v>-199</v>
      </c>
      <c r="I176" s="22"/>
      <c r="N176" s="30"/>
      <c r="P176" s="7">
        <v>44942</v>
      </c>
      <c r="Q176" s="6">
        <v>-199</v>
      </c>
      <c r="S176" s="30"/>
      <c r="W176" s="6"/>
    </row>
    <row r="177" spans="1:23" ht="14.5">
      <c r="A177" s="20" t="s">
        <v>45</v>
      </c>
      <c r="B177" s="29" t="s">
        <v>37</v>
      </c>
      <c r="C177" s="20">
        <v>7.04</v>
      </c>
      <c r="D177" s="20">
        <v>71.05</v>
      </c>
      <c r="E177" s="20">
        <v>499</v>
      </c>
      <c r="F177" s="42">
        <v>44972</v>
      </c>
      <c r="G177" s="6">
        <f ca="1">IFERROR(__xludf.DUMMYFUNCTION("IF(E177="""", """", IF(OR(B177=""PURCHASE"", B177=""SWITCH PURCHASE""), E177*-1, E177))
"),-499)</f>
        <v>-499</v>
      </c>
      <c r="I177" s="22"/>
      <c r="N177" s="30"/>
      <c r="P177" s="7">
        <v>44910</v>
      </c>
      <c r="Q177" s="6">
        <v>-499</v>
      </c>
      <c r="S177" s="30"/>
      <c r="W177" s="6"/>
    </row>
    <row r="178" spans="1:23" ht="14.5">
      <c r="A178" s="20" t="s">
        <v>41</v>
      </c>
      <c r="B178" s="29" t="s">
        <v>37</v>
      </c>
      <c r="C178" s="20">
        <v>23.23</v>
      </c>
      <c r="D178" s="20">
        <v>21.52</v>
      </c>
      <c r="E178" s="20">
        <v>499</v>
      </c>
      <c r="F178" s="42">
        <v>44972</v>
      </c>
      <c r="G178" s="6">
        <f ca="1">IFERROR(__xludf.DUMMYFUNCTION("IF(E178="""", """", IF(OR(B178=""PURCHASE"", B178=""SWITCH PURCHASE""), E178*-1, E178))
"),-499)</f>
        <v>-499</v>
      </c>
      <c r="I178" s="22"/>
      <c r="N178" s="30"/>
      <c r="P178" s="7">
        <v>44910</v>
      </c>
      <c r="Q178" s="6">
        <v>-199</v>
      </c>
      <c r="S178" s="30"/>
      <c r="W178" s="6"/>
    </row>
    <row r="179" spans="1:23" ht="14.5">
      <c r="A179" s="20" t="s">
        <v>56</v>
      </c>
      <c r="B179" s="29" t="s">
        <v>37</v>
      </c>
      <c r="C179" s="20">
        <v>5.33</v>
      </c>
      <c r="D179" s="20">
        <v>37.549999999999997</v>
      </c>
      <c r="E179" s="20">
        <v>199</v>
      </c>
      <c r="F179" s="42">
        <v>44972</v>
      </c>
      <c r="G179" s="6">
        <f ca="1">IFERROR(__xludf.DUMMYFUNCTION("IF(E179="""", """", IF(OR(B179=""PURCHASE"", B179=""SWITCH PURCHASE""), E179*-1, E179))
"),-199)</f>
        <v>-199</v>
      </c>
      <c r="I179" s="22"/>
      <c r="N179" s="30"/>
      <c r="P179" s="7">
        <v>44910</v>
      </c>
      <c r="Q179" s="6">
        <v>-499</v>
      </c>
      <c r="S179" s="30"/>
      <c r="W179" s="6"/>
    </row>
    <row r="180" spans="1:23" ht="14.5">
      <c r="A180" s="20" t="s">
        <v>59</v>
      </c>
      <c r="B180" s="29" t="s">
        <v>37</v>
      </c>
      <c r="C180" s="20">
        <v>25.28</v>
      </c>
      <c r="D180" s="20">
        <v>19.78</v>
      </c>
      <c r="E180" s="20">
        <v>499</v>
      </c>
      <c r="F180" s="42">
        <v>44972</v>
      </c>
      <c r="G180" s="6">
        <f ca="1">IFERROR(__xludf.DUMMYFUNCTION("IF(E180="""", """", IF(OR(B180=""PURCHASE"", B180=""SWITCH PURCHASE""), E180*-1, E180))
"),-499)</f>
        <v>-499</v>
      </c>
      <c r="I180" s="22"/>
      <c r="N180" s="30"/>
      <c r="P180" s="7">
        <v>44880</v>
      </c>
      <c r="Q180" s="6">
        <v>-499</v>
      </c>
      <c r="S180" s="30"/>
      <c r="W180" s="6"/>
    </row>
    <row r="181" spans="1:23" ht="14.5">
      <c r="A181" s="20" t="s">
        <v>45</v>
      </c>
      <c r="B181" s="29" t="s">
        <v>37</v>
      </c>
      <c r="C181" s="20">
        <v>14.04</v>
      </c>
      <c r="D181" s="20">
        <v>71.239999999999995</v>
      </c>
      <c r="E181" s="20">
        <v>999</v>
      </c>
      <c r="F181" s="50">
        <v>44960</v>
      </c>
      <c r="G181" s="6">
        <f ca="1">IFERROR(__xludf.DUMMYFUNCTION("IF(E181="""", """", IF(OR(B181=""PURCHASE"", B181=""SWITCH PURCHASE""), E181*-1, E181))
"),-999)</f>
        <v>-999</v>
      </c>
      <c r="I181" s="51"/>
      <c r="N181" s="30"/>
      <c r="P181" s="7">
        <v>44880</v>
      </c>
      <c r="Q181" s="6">
        <v>-499</v>
      </c>
      <c r="S181" s="30"/>
      <c r="W181" s="6"/>
    </row>
    <row r="182" spans="1:23" ht="14.5">
      <c r="A182" s="20" t="s">
        <v>39</v>
      </c>
      <c r="B182" s="29" t="s">
        <v>37</v>
      </c>
      <c r="C182" s="20">
        <v>3.68</v>
      </c>
      <c r="D182" s="20">
        <v>27.2</v>
      </c>
      <c r="E182" s="20">
        <v>100</v>
      </c>
      <c r="F182" s="50">
        <v>44960</v>
      </c>
      <c r="G182" s="6">
        <f ca="1">IFERROR(__xludf.DUMMYFUNCTION("IF(E182="""", """", IF(OR(B182=""PURCHASE"", B182=""SWITCH PURCHASE""), E182*-1, E182))
"),-100)</f>
        <v>-100</v>
      </c>
      <c r="I182" s="51"/>
      <c r="N182" s="30"/>
      <c r="P182" s="7">
        <v>44880</v>
      </c>
      <c r="Q182" s="6">
        <v>-199</v>
      </c>
      <c r="S182" s="30"/>
      <c r="W182" s="6"/>
    </row>
    <row r="183" spans="1:23" ht="14.5">
      <c r="A183" s="20" t="s">
        <v>45</v>
      </c>
      <c r="B183" s="29" t="s">
        <v>37</v>
      </c>
      <c r="C183" s="20">
        <v>6.99</v>
      </c>
      <c r="D183" s="20">
        <v>71.52</v>
      </c>
      <c r="E183" s="20">
        <v>499</v>
      </c>
      <c r="F183" s="42">
        <v>44942</v>
      </c>
      <c r="G183" s="6">
        <f ca="1">IFERROR(__xludf.DUMMYFUNCTION("IF(E183="""", """", IF(OR(B183=""PURCHASE"", B183=""SWITCH PURCHASE""), E183*-1, E183))
"),-499)</f>
        <v>-499</v>
      </c>
      <c r="I183" s="22"/>
      <c r="N183" s="30"/>
      <c r="P183" s="7">
        <v>44851</v>
      </c>
      <c r="Q183" s="6">
        <v>-499</v>
      </c>
      <c r="S183" s="30"/>
      <c r="W183" s="6"/>
    </row>
    <row r="184" spans="1:23" ht="14.5">
      <c r="A184" s="20" t="s">
        <v>59</v>
      </c>
      <c r="B184" s="29" t="s">
        <v>37</v>
      </c>
      <c r="C184" s="20">
        <v>25.83</v>
      </c>
      <c r="D184" s="20">
        <v>19.36</v>
      </c>
      <c r="E184" s="20">
        <v>499</v>
      </c>
      <c r="F184" s="42">
        <v>44942</v>
      </c>
      <c r="G184" s="6">
        <f ca="1">IFERROR(__xludf.DUMMYFUNCTION("IF(E184="""", """", IF(OR(B184=""PURCHASE"", B184=""SWITCH PURCHASE""), E184*-1, E184))
"),-499)</f>
        <v>-499</v>
      </c>
      <c r="I184" s="22"/>
      <c r="N184" s="30"/>
      <c r="P184" s="7">
        <v>44851</v>
      </c>
      <c r="Q184" s="6">
        <v>-199</v>
      </c>
      <c r="S184" s="30"/>
      <c r="W184" s="6"/>
    </row>
    <row r="185" spans="1:23" ht="14.5">
      <c r="A185" s="20" t="s">
        <v>41</v>
      </c>
      <c r="B185" s="29" t="s">
        <v>37</v>
      </c>
      <c r="C185" s="20">
        <v>25.24</v>
      </c>
      <c r="D185" s="20">
        <v>19.809999999999999</v>
      </c>
      <c r="E185" s="20">
        <v>499</v>
      </c>
      <c r="F185" s="42">
        <v>44942</v>
      </c>
      <c r="G185" s="6">
        <f ca="1">IFERROR(__xludf.DUMMYFUNCTION("IF(E185="""", """", IF(OR(B185=""PURCHASE"", B185=""SWITCH PURCHASE""), E185*-1, E185))
"),-499)</f>
        <v>-499</v>
      </c>
      <c r="I185" s="22"/>
      <c r="N185" s="30"/>
      <c r="P185" s="7">
        <v>44851</v>
      </c>
      <c r="Q185" s="6">
        <v>-499</v>
      </c>
      <c r="S185" s="30"/>
      <c r="W185" s="6"/>
    </row>
    <row r="186" spans="1:23" ht="14.5">
      <c r="A186" s="20" t="s">
        <v>56</v>
      </c>
      <c r="B186" s="29" t="s">
        <v>37</v>
      </c>
      <c r="C186" s="20">
        <v>5.53</v>
      </c>
      <c r="D186" s="20">
        <v>36.19</v>
      </c>
      <c r="E186" s="20">
        <v>199</v>
      </c>
      <c r="F186" s="42">
        <v>44942</v>
      </c>
      <c r="G186" s="6">
        <f ca="1">IFERROR(__xludf.DUMMYFUNCTION("IF(E186="""", """", IF(OR(B186=""PURCHASE"", B186=""SWITCH PURCHASE""), E186*-1, E186))
"),-199)</f>
        <v>-199</v>
      </c>
      <c r="I186" s="22"/>
      <c r="N186" s="30"/>
      <c r="P186" s="7">
        <v>44819</v>
      </c>
      <c r="Q186" s="6">
        <v>-499</v>
      </c>
      <c r="S186" s="30"/>
      <c r="W186" s="6"/>
    </row>
    <row r="187" spans="1:23" ht="14.5">
      <c r="A187" s="20" t="s">
        <v>59</v>
      </c>
      <c r="B187" s="29" t="s">
        <v>37</v>
      </c>
      <c r="C187" s="20">
        <v>25.3</v>
      </c>
      <c r="D187" s="20">
        <v>19.760000000000002</v>
      </c>
      <c r="E187" s="20">
        <v>499</v>
      </c>
      <c r="F187" s="42">
        <v>44910</v>
      </c>
      <c r="G187" s="6">
        <f ca="1">IFERROR(__xludf.DUMMYFUNCTION("IF(E187="""", """", IF(OR(B187=""PURCHASE"", B187=""SWITCH PURCHASE""), E187*-1, E187))
"),-499)</f>
        <v>-499</v>
      </c>
      <c r="I187" s="22"/>
      <c r="N187" s="30"/>
      <c r="P187" s="7">
        <v>44819</v>
      </c>
      <c r="Q187" s="6">
        <v>-199</v>
      </c>
      <c r="S187" s="30"/>
      <c r="W187" s="6"/>
    </row>
    <row r="188" spans="1:23" ht="14.5">
      <c r="A188" s="20" t="s">
        <v>56</v>
      </c>
      <c r="B188" s="29" t="s">
        <v>37</v>
      </c>
      <c r="C188" s="20">
        <v>5.63</v>
      </c>
      <c r="D188" s="20">
        <v>35.520000000000003</v>
      </c>
      <c r="E188" s="20">
        <v>199</v>
      </c>
      <c r="F188" s="42">
        <v>44910</v>
      </c>
      <c r="G188" s="6">
        <f ca="1">IFERROR(__xludf.DUMMYFUNCTION("IF(E188="""", """", IF(OR(B188=""PURCHASE"", B188=""SWITCH PURCHASE""), E188*-1, E188))
"),-199)</f>
        <v>-199</v>
      </c>
      <c r="I188" s="22"/>
      <c r="N188" s="30"/>
      <c r="P188" s="7">
        <v>44819</v>
      </c>
      <c r="Q188" s="6">
        <v>-499</v>
      </c>
      <c r="S188" s="30"/>
      <c r="W188" s="6"/>
    </row>
    <row r="189" spans="1:23" ht="14.5">
      <c r="A189" s="20" t="s">
        <v>45</v>
      </c>
      <c r="B189" s="29" t="s">
        <v>37</v>
      </c>
      <c r="C189" s="20">
        <v>6.89</v>
      </c>
      <c r="D189" s="20">
        <v>72.510000000000005</v>
      </c>
      <c r="E189" s="20">
        <v>499</v>
      </c>
      <c r="F189" s="42">
        <v>44910</v>
      </c>
      <c r="G189" s="6">
        <f ca="1">IFERROR(__xludf.DUMMYFUNCTION("IF(E189="""", """", IF(OR(B189=""PURCHASE"", B189=""SWITCH PURCHASE""), E189*-1, E189))
"),-499)</f>
        <v>-499</v>
      </c>
      <c r="I189" s="22"/>
      <c r="N189" s="30"/>
      <c r="P189" s="7">
        <v>44789</v>
      </c>
      <c r="Q189" s="6">
        <v>-499</v>
      </c>
      <c r="S189" s="30"/>
      <c r="W189" s="6"/>
    </row>
    <row r="190" spans="1:23" ht="14.5">
      <c r="A190" s="20" t="s">
        <v>59</v>
      </c>
      <c r="B190" s="29" t="s">
        <v>37</v>
      </c>
      <c r="C190" s="20">
        <v>25.08</v>
      </c>
      <c r="D190" s="20">
        <v>19.940000000000001</v>
      </c>
      <c r="E190" s="20">
        <v>499</v>
      </c>
      <c r="F190" s="42">
        <v>44880</v>
      </c>
      <c r="G190" s="6">
        <f ca="1">IFERROR(__xludf.DUMMYFUNCTION("IF(E190="""", """", IF(OR(B190=""PURCHASE"", B190=""SWITCH PURCHASE""), E190*-1, E190))
"),-499)</f>
        <v>-499</v>
      </c>
      <c r="I190" s="22"/>
      <c r="N190" s="30"/>
      <c r="P190" s="7">
        <v>44789</v>
      </c>
      <c r="Q190" s="6">
        <v>-199</v>
      </c>
      <c r="S190" s="30"/>
      <c r="W190" s="6"/>
    </row>
    <row r="191" spans="1:23" ht="14.5">
      <c r="A191" s="20" t="s">
        <v>45</v>
      </c>
      <c r="B191" s="29" t="s">
        <v>37</v>
      </c>
      <c r="C191" s="20">
        <v>7</v>
      </c>
      <c r="D191" s="20">
        <v>71.48</v>
      </c>
      <c r="E191" s="20">
        <v>499</v>
      </c>
      <c r="F191" s="42">
        <v>44880</v>
      </c>
      <c r="G191" s="6">
        <f ca="1">IFERROR(__xludf.DUMMYFUNCTION("IF(E191="""", """", IF(OR(B191=""PURCHASE"", B191=""SWITCH PURCHASE""), E191*-1, E191))
"),-499)</f>
        <v>-499</v>
      </c>
      <c r="I191" s="22"/>
      <c r="N191" s="30"/>
      <c r="P191" s="7">
        <v>44790</v>
      </c>
      <c r="Q191" s="6">
        <v>-499</v>
      </c>
      <c r="S191" s="30"/>
      <c r="W191" s="6"/>
    </row>
    <row r="192" spans="1:23" ht="14.5">
      <c r="A192" s="20" t="s">
        <v>56</v>
      </c>
      <c r="B192" s="29" t="s">
        <v>37</v>
      </c>
      <c r="C192" s="20">
        <v>5.41</v>
      </c>
      <c r="D192" s="20">
        <v>36.99</v>
      </c>
      <c r="E192" s="20">
        <v>199</v>
      </c>
      <c r="F192" s="42">
        <v>44880</v>
      </c>
      <c r="G192" s="6">
        <f ca="1">IFERROR(__xludf.DUMMYFUNCTION("IF(E192="""", """", IF(OR(B192=""PURCHASE"", B192=""SWITCH PURCHASE""), E192*-1, E192))
"),-199)</f>
        <v>-199</v>
      </c>
      <c r="I192" s="22"/>
      <c r="N192" s="30"/>
      <c r="P192" s="7">
        <v>44760</v>
      </c>
      <c r="Q192" s="6">
        <v>-199</v>
      </c>
      <c r="S192" s="30"/>
      <c r="W192" s="6"/>
    </row>
    <row r="193" spans="1:23" ht="14.5">
      <c r="A193" s="20" t="s">
        <v>45</v>
      </c>
      <c r="B193" s="29" t="s">
        <v>37</v>
      </c>
      <c r="C193" s="20">
        <v>7</v>
      </c>
      <c r="D193" s="20">
        <v>71.459999999999994</v>
      </c>
      <c r="E193" s="20">
        <v>499</v>
      </c>
      <c r="F193" s="42">
        <v>44851</v>
      </c>
      <c r="G193" s="6">
        <f ca="1">IFERROR(__xludf.DUMMYFUNCTION("IF(E193="""", """", IF(OR(B193=""PURCHASE"", B193=""SWITCH PURCHASE""), E193*-1, E193))
"),-499)</f>
        <v>-499</v>
      </c>
      <c r="I193" s="22"/>
      <c r="N193" s="30"/>
      <c r="P193" s="7">
        <v>44760</v>
      </c>
      <c r="Q193" s="6">
        <v>-499</v>
      </c>
      <c r="S193" s="30"/>
      <c r="W193" s="6"/>
    </row>
    <row r="194" spans="1:23" ht="14.5">
      <c r="A194" s="20" t="s">
        <v>56</v>
      </c>
      <c r="B194" s="29" t="s">
        <v>37</v>
      </c>
      <c r="C194" s="20">
        <v>5.71</v>
      </c>
      <c r="D194" s="20">
        <v>34.99</v>
      </c>
      <c r="E194" s="20">
        <v>199</v>
      </c>
      <c r="F194" s="42">
        <v>44851</v>
      </c>
      <c r="G194" s="6">
        <f ca="1">IFERROR(__xludf.DUMMYFUNCTION("IF(E194="""", """", IF(OR(B194=""PURCHASE"", B194=""SWITCH PURCHASE""), E194*-1, E194))
"),-199)</f>
        <v>-199</v>
      </c>
      <c r="I194" s="22"/>
      <c r="N194" s="30"/>
      <c r="P194" s="7">
        <v>44760</v>
      </c>
      <c r="Q194" s="6">
        <v>-499</v>
      </c>
      <c r="S194" s="30"/>
      <c r="W194" s="6"/>
    </row>
    <row r="195" spans="1:23" ht="14.5">
      <c r="A195" s="20" t="s">
        <v>59</v>
      </c>
      <c r="B195" s="29" t="s">
        <v>37</v>
      </c>
      <c r="C195" s="20">
        <v>26.36</v>
      </c>
      <c r="D195" s="20">
        <v>18.97</v>
      </c>
      <c r="E195" s="20">
        <v>499</v>
      </c>
      <c r="F195" s="42">
        <v>44851</v>
      </c>
      <c r="G195" s="6">
        <f ca="1">IFERROR(__xludf.DUMMYFUNCTION("IF(E195="""", """", IF(OR(B195=""PURCHASE"", B195=""SWITCH PURCHASE""), E195*-1, E195))
"),-499)</f>
        <v>-499</v>
      </c>
      <c r="I195" s="22"/>
      <c r="N195" s="30"/>
      <c r="P195" s="7">
        <v>44750</v>
      </c>
      <c r="Q195" s="6">
        <v>-999</v>
      </c>
      <c r="S195" s="30"/>
      <c r="W195" s="6"/>
    </row>
    <row r="196" spans="1:23" ht="14.5">
      <c r="A196" s="20" t="s">
        <v>45</v>
      </c>
      <c r="B196" s="29" t="s">
        <v>37</v>
      </c>
      <c r="C196" s="20">
        <v>6.86</v>
      </c>
      <c r="D196" s="20">
        <v>72.94</v>
      </c>
      <c r="E196" s="20">
        <v>499</v>
      </c>
      <c r="F196" s="42">
        <v>44819</v>
      </c>
      <c r="G196" s="6">
        <f ca="1">IFERROR(__xludf.DUMMYFUNCTION("IF(E196="""", """", IF(OR(B196=""PURCHASE"", B196=""SWITCH PURCHASE""), E196*-1, E196))
"),-499)</f>
        <v>-499</v>
      </c>
      <c r="I196" s="22"/>
      <c r="N196" s="30"/>
      <c r="P196" s="7">
        <v>44741</v>
      </c>
      <c r="Q196" s="6">
        <v>-742</v>
      </c>
      <c r="S196" s="30"/>
      <c r="W196" s="6"/>
    </row>
    <row r="197" spans="1:23" ht="14.5">
      <c r="A197" s="20" t="s">
        <v>56</v>
      </c>
      <c r="B197" s="29" t="s">
        <v>37</v>
      </c>
      <c r="C197" s="20">
        <v>5.76</v>
      </c>
      <c r="D197" s="20">
        <v>34.700000000000003</v>
      </c>
      <c r="E197" s="20">
        <v>199</v>
      </c>
      <c r="F197" s="42">
        <v>44819</v>
      </c>
      <c r="G197" s="6">
        <f ca="1">IFERROR(__xludf.DUMMYFUNCTION("IF(E197="""", """", IF(OR(B197=""PURCHASE"", B197=""SWITCH PURCHASE""), E197*-1, E197))
"),-199)</f>
        <v>-199</v>
      </c>
      <c r="I197" s="22"/>
      <c r="N197" s="30"/>
      <c r="P197" s="7">
        <v>44727</v>
      </c>
      <c r="Q197" s="6">
        <v>-199</v>
      </c>
      <c r="S197" s="30"/>
      <c r="W197" s="6"/>
    </row>
    <row r="198" spans="1:23" ht="14.5">
      <c r="A198" s="20" t="s">
        <v>59</v>
      </c>
      <c r="B198" s="29" t="s">
        <v>37</v>
      </c>
      <c r="C198" s="20">
        <v>25.93</v>
      </c>
      <c r="D198" s="20">
        <v>19.29</v>
      </c>
      <c r="E198" s="20">
        <v>499</v>
      </c>
      <c r="F198" s="42">
        <v>44819</v>
      </c>
      <c r="G198" s="6">
        <f ca="1">IFERROR(__xludf.DUMMYFUNCTION("IF(E198="""", """", IF(OR(B198=""PURCHASE"", B198=""SWITCH PURCHASE""), E198*-1, E198))
"),-499)</f>
        <v>-499</v>
      </c>
      <c r="I198" s="22"/>
      <c r="N198" s="30"/>
      <c r="P198" s="7">
        <v>44727</v>
      </c>
      <c r="Q198" s="6">
        <v>-499</v>
      </c>
      <c r="S198" s="30"/>
      <c r="W198" s="6"/>
    </row>
    <row r="199" spans="1:23" ht="14.5">
      <c r="A199" s="20" t="s">
        <v>59</v>
      </c>
      <c r="B199" s="29" t="s">
        <v>37</v>
      </c>
      <c r="C199" s="20">
        <v>25.97</v>
      </c>
      <c r="D199" s="20">
        <v>19.25</v>
      </c>
      <c r="E199" s="20">
        <v>499</v>
      </c>
      <c r="F199" s="42">
        <v>44789</v>
      </c>
      <c r="G199" s="6">
        <f ca="1">IFERROR(__xludf.DUMMYFUNCTION("IF(E199="""", """", IF(OR(B199=""PURCHASE"", B199=""SWITCH PURCHASE""), E199*-1, E199))
"),-499)</f>
        <v>-499</v>
      </c>
      <c r="I199" s="22"/>
      <c r="N199" s="30"/>
      <c r="P199" s="7">
        <v>44727</v>
      </c>
      <c r="Q199" s="6">
        <v>-499</v>
      </c>
      <c r="S199" s="30"/>
      <c r="W199" s="6"/>
    </row>
    <row r="200" spans="1:23" ht="14.5">
      <c r="A200" s="20" t="s">
        <v>56</v>
      </c>
      <c r="B200" s="29" t="s">
        <v>37</v>
      </c>
      <c r="C200" s="20">
        <v>5.49</v>
      </c>
      <c r="D200" s="20">
        <v>36.450000000000003</v>
      </c>
      <c r="E200" s="20">
        <v>199</v>
      </c>
      <c r="F200" s="42">
        <v>44789</v>
      </c>
      <c r="G200" s="6">
        <f ca="1">IFERROR(__xludf.DUMMYFUNCTION("IF(E200="""", """", IF(OR(B200=""PURCHASE"", B200=""SWITCH PURCHASE""), E200*-1, E200))
"),-199)</f>
        <v>-199</v>
      </c>
      <c r="I200" s="22"/>
      <c r="N200" s="30"/>
      <c r="P200" s="7">
        <v>44697</v>
      </c>
      <c r="Q200" s="6">
        <v>-499</v>
      </c>
      <c r="S200" s="30"/>
      <c r="W200" s="6"/>
    </row>
    <row r="201" spans="1:23" ht="14.5">
      <c r="A201" s="20" t="s">
        <v>45</v>
      </c>
      <c r="B201" s="29" t="s">
        <v>37</v>
      </c>
      <c r="C201" s="20">
        <v>7.2</v>
      </c>
      <c r="D201" s="20">
        <v>69.459999999999994</v>
      </c>
      <c r="E201" s="20">
        <v>499</v>
      </c>
      <c r="F201" s="42">
        <v>44790</v>
      </c>
      <c r="G201" s="6">
        <f ca="1">IFERROR(__xludf.DUMMYFUNCTION("IF(E201="""", """", IF(OR(B201=""PURCHASE"", B201=""SWITCH PURCHASE""), E201*-1, E201))
"),-499)</f>
        <v>-499</v>
      </c>
      <c r="I201" s="22"/>
      <c r="N201" s="30"/>
      <c r="P201" s="7">
        <v>44697</v>
      </c>
      <c r="Q201" s="6">
        <v>-199</v>
      </c>
      <c r="S201" s="30"/>
      <c r="W201" s="6"/>
    </row>
    <row r="202" spans="1:23" ht="14.5">
      <c r="A202" s="20" t="s">
        <v>56</v>
      </c>
      <c r="B202" s="29" t="s">
        <v>37</v>
      </c>
      <c r="C202" s="20">
        <v>5.96</v>
      </c>
      <c r="D202" s="20">
        <v>33.57</v>
      </c>
      <c r="E202" s="20">
        <v>199</v>
      </c>
      <c r="F202" s="42">
        <v>44760</v>
      </c>
      <c r="G202" s="6">
        <f ca="1">IFERROR(__xludf.DUMMYFUNCTION("IF(E202="""", """", IF(OR(B202=""PURCHASE"", B202=""SWITCH PURCHASE""), E202*-1, E202))
"),-199)</f>
        <v>-199</v>
      </c>
      <c r="I202" s="22"/>
      <c r="N202" s="30"/>
      <c r="P202" s="7">
        <v>44697</v>
      </c>
      <c r="Q202" s="6">
        <v>-499</v>
      </c>
      <c r="S202" s="30"/>
      <c r="W202" s="6"/>
    </row>
    <row r="203" spans="1:23" ht="14.5">
      <c r="A203" s="20" t="s">
        <v>45</v>
      </c>
      <c r="B203" s="29" t="s">
        <v>37</v>
      </c>
      <c r="C203" s="20">
        <v>7.73</v>
      </c>
      <c r="D203" s="20">
        <v>64.650000000000006</v>
      </c>
      <c r="E203" s="20">
        <v>499</v>
      </c>
      <c r="F203" s="42">
        <v>44760</v>
      </c>
      <c r="G203" s="6">
        <f ca="1">IFERROR(__xludf.DUMMYFUNCTION("IF(E203="""", """", IF(OR(B203=""PURCHASE"", B203=""SWITCH PURCHASE""), E203*-1, E203))
"),-499)</f>
        <v>-499</v>
      </c>
      <c r="I203" s="22"/>
      <c r="N203" s="30"/>
      <c r="P203" s="7">
        <v>44669</v>
      </c>
      <c r="Q203" s="6">
        <v>-199</v>
      </c>
      <c r="S203" s="30"/>
      <c r="W203" s="6"/>
    </row>
    <row r="204" spans="1:23" ht="14.5">
      <c r="A204" s="20" t="s">
        <v>59</v>
      </c>
      <c r="B204" s="29" t="s">
        <v>37</v>
      </c>
      <c r="C204" s="20">
        <v>28.56</v>
      </c>
      <c r="D204" s="20">
        <v>17.510000000000002</v>
      </c>
      <c r="E204" s="20">
        <v>499</v>
      </c>
      <c r="F204" s="42">
        <v>44760</v>
      </c>
      <c r="G204" s="6">
        <f ca="1">IFERROR(__xludf.DUMMYFUNCTION("IF(E204="""", """", IF(OR(B204=""PURCHASE"", B204=""SWITCH PURCHASE""), E204*-1, E204))
"),-499)</f>
        <v>-499</v>
      </c>
      <c r="I204" s="22"/>
      <c r="N204" s="30"/>
      <c r="P204" s="7">
        <v>44669</v>
      </c>
      <c r="Q204" s="6">
        <v>-499</v>
      </c>
      <c r="S204" s="30"/>
      <c r="W204" s="6"/>
    </row>
    <row r="205" spans="1:23" ht="14.5">
      <c r="A205" s="20" t="s">
        <v>56</v>
      </c>
      <c r="B205" s="29" t="s">
        <v>37</v>
      </c>
      <c r="C205" s="20">
        <v>29</v>
      </c>
      <c r="D205" s="20">
        <v>34.479999999999997</v>
      </c>
      <c r="E205" s="20">
        <v>999</v>
      </c>
      <c r="F205" s="50">
        <v>44750</v>
      </c>
      <c r="G205" s="6">
        <f ca="1">IFERROR(__xludf.DUMMYFUNCTION("IF(E205="""", """", IF(OR(B205=""PURCHASE"", B205=""SWITCH PURCHASE""), E205*-1, E205))
"),-999)</f>
        <v>-999</v>
      </c>
      <c r="I205" s="51"/>
      <c r="N205" s="30"/>
      <c r="P205" s="7">
        <v>44669</v>
      </c>
      <c r="Q205" s="6">
        <v>-499</v>
      </c>
      <c r="S205" s="30"/>
      <c r="W205" s="6"/>
    </row>
    <row r="206" spans="1:23" ht="14.5">
      <c r="A206" s="20" t="s">
        <v>57</v>
      </c>
      <c r="B206" s="29" t="s">
        <v>37</v>
      </c>
      <c r="C206" s="20">
        <v>43.65</v>
      </c>
      <c r="D206" s="20">
        <v>17.02</v>
      </c>
      <c r="E206" s="20">
        <v>742</v>
      </c>
      <c r="F206" s="42">
        <v>44741</v>
      </c>
      <c r="G206" s="6">
        <f ca="1">IFERROR(__xludf.DUMMYFUNCTION("IF(E206="""", """", IF(OR(B206=""PURCHASE"", B206=""SWITCH PURCHASE""), E206*-1, E206))
"),-742)</f>
        <v>-742</v>
      </c>
      <c r="I206" s="22"/>
      <c r="N206" s="30"/>
      <c r="P206" s="7">
        <v>44635</v>
      </c>
      <c r="Q206" s="6">
        <v>-499</v>
      </c>
      <c r="S206" s="30"/>
      <c r="W206" s="6"/>
    </row>
    <row r="207" spans="1:23" ht="14.5">
      <c r="A207" s="20" t="s">
        <v>56</v>
      </c>
      <c r="B207" s="29" t="s">
        <v>37</v>
      </c>
      <c r="C207" s="20">
        <v>5.95</v>
      </c>
      <c r="D207" s="20">
        <v>33.61</v>
      </c>
      <c r="E207" s="20">
        <v>199</v>
      </c>
      <c r="F207" s="42">
        <v>44727</v>
      </c>
      <c r="G207" s="6">
        <f ca="1">IFERROR(__xludf.DUMMYFUNCTION("IF(E207="""", """", IF(OR(B207=""PURCHASE"", B207=""SWITCH PURCHASE""), E207*-1, E207))
"),-199)</f>
        <v>-199</v>
      </c>
      <c r="I207" s="22"/>
      <c r="N207" s="30"/>
      <c r="P207" s="7">
        <v>44635</v>
      </c>
      <c r="Q207" s="6">
        <v>-199</v>
      </c>
      <c r="S207" s="30"/>
      <c r="W207" s="6"/>
    </row>
    <row r="208" spans="1:23" ht="14.5">
      <c r="A208" s="20" t="s">
        <v>45</v>
      </c>
      <c r="B208" s="29" t="s">
        <v>37</v>
      </c>
      <c r="C208" s="20">
        <v>8.0399999999999991</v>
      </c>
      <c r="D208" s="20">
        <v>62.15</v>
      </c>
      <c r="E208" s="20">
        <v>499</v>
      </c>
      <c r="F208" s="42">
        <v>44727</v>
      </c>
      <c r="G208" s="6">
        <f ca="1">IFERROR(__xludf.DUMMYFUNCTION("IF(E208="""", """", IF(OR(B208=""PURCHASE"", B208=""SWITCH PURCHASE""), E208*-1, E208))
"),-499)</f>
        <v>-499</v>
      </c>
      <c r="I208" s="22"/>
      <c r="N208" s="30"/>
      <c r="P208" s="7">
        <v>44635</v>
      </c>
      <c r="Q208" s="6">
        <v>-499</v>
      </c>
      <c r="S208" s="30"/>
      <c r="W208" s="6"/>
    </row>
    <row r="209" spans="1:23" ht="14.5">
      <c r="A209" s="20" t="s">
        <v>59</v>
      </c>
      <c r="B209" s="29" t="s">
        <v>37</v>
      </c>
      <c r="C209" s="20">
        <v>29.64</v>
      </c>
      <c r="D209" s="20">
        <v>16.87</v>
      </c>
      <c r="E209" s="20">
        <v>499</v>
      </c>
      <c r="F209" s="42">
        <v>44727</v>
      </c>
      <c r="G209" s="6">
        <f ca="1">IFERROR(__xludf.DUMMYFUNCTION("IF(E209="""", """", IF(OR(B209=""PURCHASE"", B209=""SWITCH PURCHASE""), E209*-1, E209))
"),-499)</f>
        <v>-499</v>
      </c>
      <c r="I209" s="22"/>
      <c r="N209" s="30"/>
      <c r="P209" s="7">
        <v>44635</v>
      </c>
      <c r="Q209" s="6">
        <v>-499</v>
      </c>
      <c r="S209" s="30"/>
      <c r="W209" s="6"/>
    </row>
    <row r="210" spans="1:23" ht="14.5">
      <c r="A210" s="20" t="s">
        <v>45</v>
      </c>
      <c r="B210" s="29" t="s">
        <v>37</v>
      </c>
      <c r="C210" s="20">
        <v>8.02</v>
      </c>
      <c r="D210" s="20">
        <v>62.31</v>
      </c>
      <c r="E210" s="20">
        <v>499</v>
      </c>
      <c r="F210" s="52">
        <v>44697</v>
      </c>
      <c r="G210" s="6">
        <f ca="1">IFERROR(__xludf.DUMMYFUNCTION("IF(E210="""", """", IF(OR(B210=""PURCHASE"", B210=""SWITCH PURCHASE""), E210*-1, E210))
"),-499)</f>
        <v>-499</v>
      </c>
      <c r="I210" s="53"/>
      <c r="N210" s="30"/>
      <c r="P210" s="7">
        <v>44607</v>
      </c>
      <c r="Q210" s="6">
        <v>-499</v>
      </c>
      <c r="S210" s="30"/>
      <c r="W210" s="6"/>
    </row>
    <row r="211" spans="1:23" ht="14.5">
      <c r="A211" s="20" t="s">
        <v>56</v>
      </c>
      <c r="B211" s="29" t="s">
        <v>37</v>
      </c>
      <c r="C211" s="20">
        <v>5.7</v>
      </c>
      <c r="D211" s="20">
        <v>35.06</v>
      </c>
      <c r="E211" s="20">
        <v>199</v>
      </c>
      <c r="F211" s="52">
        <v>44697</v>
      </c>
      <c r="G211" s="6">
        <f ca="1">IFERROR(__xludf.DUMMYFUNCTION("IF(E211="""", """", IF(OR(B211=""PURCHASE"", B211=""SWITCH PURCHASE""), E211*-1, E211))
"),-199)</f>
        <v>-199</v>
      </c>
      <c r="I211" s="53"/>
      <c r="N211" s="30"/>
      <c r="P211" s="7">
        <v>44607</v>
      </c>
      <c r="Q211" s="6">
        <v>-499</v>
      </c>
      <c r="S211" s="30"/>
      <c r="W211" s="6"/>
    </row>
    <row r="212" spans="1:23" ht="14.5">
      <c r="A212" s="20" t="s">
        <v>59</v>
      </c>
      <c r="B212" s="29" t="s">
        <v>37</v>
      </c>
      <c r="C212" s="20">
        <v>29.53</v>
      </c>
      <c r="D212" s="20">
        <v>16.93</v>
      </c>
      <c r="E212" s="20">
        <v>499</v>
      </c>
      <c r="F212" s="52">
        <v>44697</v>
      </c>
      <c r="G212" s="6">
        <f ca="1">IFERROR(__xludf.DUMMYFUNCTION("IF(E212="""", """", IF(OR(B212=""PURCHASE"", B212=""SWITCH PURCHASE""), E212*-1, E212))
"),-499)</f>
        <v>-499</v>
      </c>
      <c r="I212" s="53"/>
      <c r="N212" s="30"/>
      <c r="P212" s="7">
        <v>44607</v>
      </c>
      <c r="Q212" s="6">
        <v>-199</v>
      </c>
      <c r="S212" s="30"/>
      <c r="W212" s="6"/>
    </row>
    <row r="213" spans="1:23" ht="14.5">
      <c r="A213" s="20" t="s">
        <v>56</v>
      </c>
      <c r="B213" s="29" t="s">
        <v>37</v>
      </c>
      <c r="C213" s="20">
        <v>5.08</v>
      </c>
      <c r="D213" s="20">
        <v>39.33</v>
      </c>
      <c r="E213" s="20">
        <v>199</v>
      </c>
      <c r="F213" s="42">
        <v>44669</v>
      </c>
      <c r="G213" s="6">
        <f ca="1">IFERROR(__xludf.DUMMYFUNCTION("IF(E213="""", """", IF(OR(B213=""PURCHASE"", B213=""SWITCH PURCHASE""), E213*-1, E213))
"),-199)</f>
        <v>-199</v>
      </c>
      <c r="I213" s="22"/>
      <c r="N213" s="30"/>
      <c r="P213" s="7">
        <v>44607</v>
      </c>
      <c r="Q213" s="6">
        <v>-499</v>
      </c>
      <c r="S213" s="30"/>
      <c r="W213" s="6"/>
    </row>
    <row r="214" spans="1:23" ht="14.5">
      <c r="A214" s="20" t="s">
        <v>59</v>
      </c>
      <c r="B214" s="29" t="s">
        <v>37</v>
      </c>
      <c r="C214" s="20">
        <v>27.41</v>
      </c>
      <c r="D214" s="20">
        <v>18.239999999999998</v>
      </c>
      <c r="E214" s="20">
        <v>499</v>
      </c>
      <c r="F214" s="42">
        <v>44669</v>
      </c>
      <c r="G214" s="6">
        <f ca="1">IFERROR(__xludf.DUMMYFUNCTION("IF(E214="""", """", IF(OR(B214=""PURCHASE"", B214=""SWITCH PURCHASE""), E214*-1, E214))
"),-499)</f>
        <v>-499</v>
      </c>
      <c r="I214" s="22"/>
      <c r="N214" s="30"/>
      <c r="P214" s="7">
        <v>44578</v>
      </c>
      <c r="Q214" s="6">
        <v>-499</v>
      </c>
      <c r="S214" s="30"/>
      <c r="W214" s="6"/>
    </row>
    <row r="215" spans="1:23" ht="14.5">
      <c r="A215" s="20" t="s">
        <v>45</v>
      </c>
      <c r="B215" s="29" t="s">
        <v>37</v>
      </c>
      <c r="C215" s="20">
        <v>7.3</v>
      </c>
      <c r="D215" s="20">
        <v>68.47</v>
      </c>
      <c r="E215" s="20">
        <v>499</v>
      </c>
      <c r="F215" s="42">
        <v>44669</v>
      </c>
      <c r="G215" s="6">
        <f ca="1">IFERROR(__xludf.DUMMYFUNCTION("IF(E215="""", """", IF(OR(B215=""PURCHASE"", B215=""SWITCH PURCHASE""), E215*-1, E215))
"),-499)</f>
        <v>-499</v>
      </c>
      <c r="I215" s="22"/>
      <c r="N215" s="30"/>
      <c r="P215" s="7">
        <v>44578</v>
      </c>
      <c r="Q215" s="6">
        <v>-499</v>
      </c>
      <c r="S215" s="30"/>
      <c r="W215" s="6"/>
    </row>
    <row r="216" spans="1:23" ht="14.5">
      <c r="A216" s="20" t="s">
        <v>41</v>
      </c>
      <c r="B216" s="29" t="s">
        <v>37</v>
      </c>
      <c r="C216" s="20">
        <v>23.48</v>
      </c>
      <c r="D216" s="20">
        <v>21.29</v>
      </c>
      <c r="E216" s="20">
        <v>499</v>
      </c>
      <c r="F216" s="42">
        <v>44635</v>
      </c>
      <c r="G216" s="6">
        <f ca="1">IFERROR(__xludf.DUMMYFUNCTION("IF(E216="""", """", IF(OR(B216=""PURCHASE"", B216=""SWITCH PURCHASE""), E216*-1, E216))
"),-499)</f>
        <v>-499</v>
      </c>
      <c r="I216" s="22"/>
      <c r="N216" s="30"/>
      <c r="P216" s="7">
        <v>44578</v>
      </c>
      <c r="Q216" s="6">
        <v>-499</v>
      </c>
      <c r="S216" s="30"/>
      <c r="W216" s="6"/>
    </row>
    <row r="217" spans="1:23" ht="14.5">
      <c r="A217" s="20" t="s">
        <v>56</v>
      </c>
      <c r="B217" s="29" t="s">
        <v>37</v>
      </c>
      <c r="C217" s="20">
        <v>4.88</v>
      </c>
      <c r="D217" s="20">
        <v>40.94</v>
      </c>
      <c r="E217" s="20">
        <v>199</v>
      </c>
      <c r="F217" s="42">
        <v>44635</v>
      </c>
      <c r="G217" s="6">
        <f ca="1">IFERROR(__xludf.DUMMYFUNCTION("IF(E217="""", """", IF(OR(B217=""PURCHASE"", B217=""SWITCH PURCHASE""), E217*-1, E217))
"),-199)</f>
        <v>-199</v>
      </c>
      <c r="I217" s="22"/>
      <c r="N217" s="30"/>
      <c r="P217" s="7">
        <v>44578</v>
      </c>
      <c r="Q217" s="6">
        <v>-199</v>
      </c>
      <c r="S217" s="30"/>
      <c r="W217" s="6"/>
    </row>
    <row r="218" spans="1:23" ht="14.5">
      <c r="A218" s="20" t="s">
        <v>59</v>
      </c>
      <c r="B218" s="29" t="s">
        <v>37</v>
      </c>
      <c r="C218" s="20">
        <v>28.09</v>
      </c>
      <c r="D218" s="20">
        <v>17.8</v>
      </c>
      <c r="E218" s="20">
        <v>499</v>
      </c>
      <c r="F218" s="42">
        <v>44635</v>
      </c>
      <c r="G218" s="6">
        <f ca="1">IFERROR(__xludf.DUMMYFUNCTION("IF(E218="""", """", IF(OR(B218=""PURCHASE"", B218=""SWITCH PURCHASE""), E218*-1, E218))
"),-499)</f>
        <v>-499</v>
      </c>
      <c r="I218" s="22"/>
      <c r="N218" s="30"/>
      <c r="P218" s="7">
        <v>44545</v>
      </c>
      <c r="Q218" s="6">
        <v>-499</v>
      </c>
      <c r="S218" s="30"/>
      <c r="W218" s="6"/>
    </row>
    <row r="219" spans="1:23" ht="14.5">
      <c r="A219" s="20" t="s">
        <v>45</v>
      </c>
      <c r="B219" s="29" t="s">
        <v>37</v>
      </c>
      <c r="C219" s="20">
        <v>7.68</v>
      </c>
      <c r="D219" s="20">
        <v>65.08</v>
      </c>
      <c r="E219" s="20">
        <v>499</v>
      </c>
      <c r="F219" s="42">
        <v>44635</v>
      </c>
      <c r="G219" s="6">
        <f ca="1">IFERROR(__xludf.DUMMYFUNCTION("IF(E219="""", """", IF(OR(B219=""PURCHASE"", B219=""SWITCH PURCHASE""), E219*-1, E219))
"),-499)</f>
        <v>-499</v>
      </c>
      <c r="I219" s="22"/>
      <c r="N219" s="30"/>
      <c r="P219" s="7">
        <v>44545</v>
      </c>
      <c r="Q219" s="6">
        <v>-199</v>
      </c>
      <c r="S219" s="30"/>
      <c r="W219" s="6"/>
    </row>
    <row r="220" spans="1:23" ht="14.5">
      <c r="A220" s="20" t="s">
        <v>41</v>
      </c>
      <c r="B220" s="29" t="s">
        <v>37</v>
      </c>
      <c r="C220" s="20">
        <v>21.49</v>
      </c>
      <c r="D220" s="20">
        <v>23.27</v>
      </c>
      <c r="E220" s="20">
        <v>499</v>
      </c>
      <c r="F220" s="42">
        <v>44607</v>
      </c>
      <c r="G220" s="6">
        <f ca="1">IFERROR(__xludf.DUMMYFUNCTION("IF(E220="""", """", IF(OR(B220=""PURCHASE"", B220=""SWITCH PURCHASE""), E220*-1, E220))
"),-499)</f>
        <v>-499</v>
      </c>
      <c r="I220" s="22"/>
      <c r="N220" s="30"/>
      <c r="P220" s="7">
        <v>44545</v>
      </c>
      <c r="Q220" s="6">
        <v>-499</v>
      </c>
      <c r="S220" s="30"/>
      <c r="W220" s="6"/>
    </row>
    <row r="221" spans="1:23" ht="14.5">
      <c r="A221" s="20" t="s">
        <v>59</v>
      </c>
      <c r="B221" s="29" t="s">
        <v>37</v>
      </c>
      <c r="C221" s="20">
        <v>26.94</v>
      </c>
      <c r="D221" s="20">
        <v>18.559999999999999</v>
      </c>
      <c r="E221" s="20">
        <v>499</v>
      </c>
      <c r="F221" s="42">
        <v>44607</v>
      </c>
      <c r="G221" s="6">
        <f ca="1">IFERROR(__xludf.DUMMYFUNCTION("IF(E221="""", """", IF(OR(B221=""PURCHASE"", B221=""SWITCH PURCHASE""), E221*-1, E221))
"),-499)</f>
        <v>-499</v>
      </c>
      <c r="I221" s="22"/>
      <c r="N221" s="30"/>
      <c r="P221" s="7">
        <v>44543</v>
      </c>
      <c r="Q221" s="6">
        <v>-499</v>
      </c>
      <c r="S221" s="30"/>
      <c r="W221" s="6"/>
    </row>
    <row r="222" spans="1:23" ht="14.5">
      <c r="A222" s="20" t="s">
        <v>56</v>
      </c>
      <c r="B222" s="29" t="s">
        <v>37</v>
      </c>
      <c r="C222" s="20">
        <v>4.91</v>
      </c>
      <c r="D222" s="20">
        <v>40.75</v>
      </c>
      <c r="E222" s="20">
        <v>199</v>
      </c>
      <c r="F222" s="42">
        <v>44607</v>
      </c>
      <c r="G222" s="6">
        <f ca="1">IFERROR(__xludf.DUMMYFUNCTION("IF(E222="""", """", IF(OR(B222=""PURCHASE"", B222=""SWITCH PURCHASE""), E222*-1, E222))
"),-199)</f>
        <v>-199</v>
      </c>
      <c r="I222" s="22"/>
      <c r="N222" s="30"/>
      <c r="P222" s="7">
        <v>44515</v>
      </c>
      <c r="Q222" s="6">
        <v>-499</v>
      </c>
      <c r="S222" s="30"/>
      <c r="W222" s="6"/>
    </row>
    <row r="223" spans="1:23" ht="14.5">
      <c r="A223" s="20" t="s">
        <v>45</v>
      </c>
      <c r="B223" s="29" t="s">
        <v>37</v>
      </c>
      <c r="C223" s="20">
        <v>7.54</v>
      </c>
      <c r="D223" s="20">
        <v>66.34</v>
      </c>
      <c r="E223" s="20">
        <v>499</v>
      </c>
      <c r="F223" s="42">
        <v>44607</v>
      </c>
      <c r="G223" s="6">
        <f ca="1">IFERROR(__xludf.DUMMYFUNCTION("IF(E223="""", """", IF(OR(B223=""PURCHASE"", B223=""SWITCH PURCHASE""), E223*-1, E223))
"),-499)</f>
        <v>-499</v>
      </c>
      <c r="I223" s="22"/>
      <c r="N223" s="30"/>
      <c r="P223" s="7">
        <v>44515</v>
      </c>
      <c r="Q223" s="6">
        <v>-199</v>
      </c>
      <c r="S223" s="30"/>
      <c r="W223" s="6"/>
    </row>
    <row r="224" spans="1:23" ht="14.5">
      <c r="A224" s="20" t="s">
        <v>59</v>
      </c>
      <c r="B224" s="29" t="s">
        <v>37</v>
      </c>
      <c r="C224" s="20">
        <v>25.58</v>
      </c>
      <c r="D224" s="20">
        <v>19.55</v>
      </c>
      <c r="E224" s="20">
        <v>499</v>
      </c>
      <c r="F224" s="42">
        <v>44578</v>
      </c>
      <c r="G224" s="6">
        <f ca="1">IFERROR(__xludf.DUMMYFUNCTION("IF(E224="""", """", IF(OR(B224=""PURCHASE"", B224=""SWITCH PURCHASE""), E224*-1, E224))
"),-499)</f>
        <v>-499</v>
      </c>
      <c r="I224" s="22"/>
      <c r="N224" s="30"/>
      <c r="P224" s="7">
        <v>44515</v>
      </c>
      <c r="Q224" s="6">
        <v>-499</v>
      </c>
      <c r="S224" s="30"/>
      <c r="W224" s="6"/>
    </row>
    <row r="225" spans="1:23" ht="14.5">
      <c r="A225" s="20" t="s">
        <v>45</v>
      </c>
      <c r="B225" s="29" t="s">
        <v>37</v>
      </c>
      <c r="C225" s="20">
        <v>7.01</v>
      </c>
      <c r="D225" s="20">
        <v>71.28</v>
      </c>
      <c r="E225" s="20">
        <v>499</v>
      </c>
      <c r="F225" s="42">
        <v>44578</v>
      </c>
      <c r="G225" s="6">
        <f ca="1">IFERROR(__xludf.DUMMYFUNCTION("IF(E225="""", """", IF(OR(B225=""PURCHASE"", B225=""SWITCH PURCHASE""), E225*-1, E225))
"),-499)</f>
        <v>-499</v>
      </c>
      <c r="I225" s="22"/>
      <c r="N225" s="30"/>
      <c r="P225" s="7">
        <v>44515</v>
      </c>
      <c r="Q225" s="6">
        <v>-499</v>
      </c>
      <c r="S225" s="30"/>
      <c r="W225" s="6"/>
    </row>
    <row r="226" spans="1:23" ht="14.5">
      <c r="A226" s="20" t="s">
        <v>41</v>
      </c>
      <c r="B226" s="29" t="s">
        <v>37</v>
      </c>
      <c r="C226" s="20">
        <v>20.47</v>
      </c>
      <c r="D226" s="20">
        <v>24.42</v>
      </c>
      <c r="E226" s="20">
        <v>499</v>
      </c>
      <c r="F226" s="42">
        <v>44578</v>
      </c>
      <c r="G226" s="6">
        <f ca="1">IFERROR(__xludf.DUMMYFUNCTION("IF(E226="""", """", IF(OR(B226=""PURCHASE"", B226=""SWITCH PURCHASE""), E226*-1, E226))
"),-499)</f>
        <v>-499</v>
      </c>
      <c r="I226" s="22"/>
      <c r="N226" s="30"/>
      <c r="P226" s="7">
        <v>44487</v>
      </c>
      <c r="Q226" s="6">
        <v>-499</v>
      </c>
      <c r="S226" s="30"/>
      <c r="W226" s="6"/>
    </row>
    <row r="227" spans="1:23" ht="14.5">
      <c r="A227" s="20" t="s">
        <v>56</v>
      </c>
      <c r="B227" s="29" t="s">
        <v>37</v>
      </c>
      <c r="C227" s="20">
        <v>4.42</v>
      </c>
      <c r="D227" s="20">
        <v>45.22</v>
      </c>
      <c r="E227" s="20">
        <v>199</v>
      </c>
      <c r="F227" s="42">
        <v>44578</v>
      </c>
      <c r="G227" s="6">
        <f ca="1">IFERROR(__xludf.DUMMYFUNCTION("IF(E227="""", """", IF(OR(B227=""PURCHASE"", B227=""SWITCH PURCHASE""), E227*-1, E227))
"),-199)</f>
        <v>-199</v>
      </c>
      <c r="I227" s="22"/>
      <c r="N227" s="30"/>
      <c r="P227" s="7">
        <v>44487</v>
      </c>
      <c r="Q227" s="6">
        <v>-499</v>
      </c>
      <c r="S227" s="30"/>
      <c r="W227" s="6"/>
    </row>
    <row r="228" spans="1:23" ht="14.5">
      <c r="A228" s="20" t="s">
        <v>41</v>
      </c>
      <c r="B228" s="29" t="s">
        <v>37</v>
      </c>
      <c r="C228" s="20">
        <v>19.66</v>
      </c>
      <c r="D228" s="20">
        <v>25.42</v>
      </c>
      <c r="E228" s="20">
        <v>499</v>
      </c>
      <c r="F228" s="42">
        <v>44545</v>
      </c>
      <c r="G228" s="6">
        <f ca="1">IFERROR(__xludf.DUMMYFUNCTION("IF(E228="""", """", IF(OR(B228=""PURCHASE"", B228=""SWITCH PURCHASE""), E228*-1, E228))
"),-499)</f>
        <v>-499</v>
      </c>
      <c r="I228" s="22"/>
      <c r="N228" s="30"/>
      <c r="P228" s="7">
        <v>44487</v>
      </c>
      <c r="Q228" s="6">
        <v>-199</v>
      </c>
      <c r="S228" s="30"/>
      <c r="W228" s="6"/>
    </row>
    <row r="229" spans="1:23" ht="14.5">
      <c r="A229" s="20" t="s">
        <v>56</v>
      </c>
      <c r="B229" s="29" t="s">
        <v>37</v>
      </c>
      <c r="C229" s="20">
        <v>4.74</v>
      </c>
      <c r="D229" s="20">
        <v>42.21</v>
      </c>
      <c r="E229" s="20">
        <v>199</v>
      </c>
      <c r="F229" s="42">
        <v>44545</v>
      </c>
      <c r="G229" s="6">
        <f ca="1">IFERROR(__xludf.DUMMYFUNCTION("IF(E229="""", """", IF(OR(B229=""PURCHASE"", B229=""SWITCH PURCHASE""), E229*-1, E229))
"),-199)</f>
        <v>-199</v>
      </c>
      <c r="I229" s="22"/>
      <c r="N229" s="30"/>
      <c r="P229" s="7">
        <v>44487</v>
      </c>
      <c r="Q229" s="6">
        <v>-499</v>
      </c>
      <c r="S229" s="30"/>
      <c r="W229" s="6"/>
    </row>
    <row r="230" spans="1:23" ht="14.5">
      <c r="A230" s="20" t="s">
        <v>59</v>
      </c>
      <c r="B230" s="29" t="s">
        <v>37</v>
      </c>
      <c r="C230" s="20">
        <v>27.13</v>
      </c>
      <c r="D230" s="20">
        <v>18.43</v>
      </c>
      <c r="E230" s="20">
        <v>499</v>
      </c>
      <c r="F230" s="42">
        <v>44545</v>
      </c>
      <c r="G230" s="6">
        <f ca="1">IFERROR(__xludf.DUMMYFUNCTION("IF(E230="""", """", IF(OR(B230=""PURCHASE"", B230=""SWITCH PURCHASE""), E230*-1, E230))
"),-499)</f>
        <v>-499</v>
      </c>
      <c r="I230" s="22"/>
      <c r="N230" s="30"/>
      <c r="P230" s="7">
        <v>44454</v>
      </c>
      <c r="Q230" s="6">
        <v>-199</v>
      </c>
      <c r="S230" s="30"/>
      <c r="W230" s="6"/>
    </row>
    <row r="231" spans="1:23" ht="14.5">
      <c r="A231" s="20" t="s">
        <v>45</v>
      </c>
      <c r="B231" s="29" t="s">
        <v>37</v>
      </c>
      <c r="C231" s="20">
        <v>7.38</v>
      </c>
      <c r="D231" s="20">
        <v>67.709999999999994</v>
      </c>
      <c r="E231" s="20">
        <v>499</v>
      </c>
      <c r="F231" s="42">
        <v>44543</v>
      </c>
      <c r="G231" s="6">
        <f ca="1">IFERROR(__xludf.DUMMYFUNCTION("IF(E231="""", """", IF(OR(B231=""PURCHASE"", B231=""SWITCH PURCHASE""), E231*-1, E231))
"),-499)</f>
        <v>-499</v>
      </c>
      <c r="I231" s="22"/>
      <c r="N231" s="30"/>
      <c r="P231" s="7">
        <v>44454</v>
      </c>
      <c r="Q231" s="6">
        <v>-499</v>
      </c>
      <c r="S231" s="30"/>
      <c r="W231" s="6"/>
    </row>
    <row r="232" spans="1:23" ht="14.5">
      <c r="A232" s="20" t="s">
        <v>55</v>
      </c>
      <c r="B232" s="29" t="s">
        <v>52</v>
      </c>
      <c r="C232" s="20">
        <v>19.190000000000001</v>
      </c>
      <c r="D232" s="20">
        <v>53.35</v>
      </c>
      <c r="E232" s="54">
        <v>1023</v>
      </c>
      <c r="F232" s="42">
        <v>44526</v>
      </c>
      <c r="G232" s="6">
        <f ca="1">IFERROR(__xludf.DUMMYFUNCTION("IF(E232="""", """", IF(OR(B232=""PURCHASE"", B232=""SWITCH PURCHASE""), E232*-1, E232))
"),-1023)</f>
        <v>-1023</v>
      </c>
      <c r="I232" s="22"/>
      <c r="N232" s="30"/>
      <c r="P232" s="7">
        <v>44454</v>
      </c>
      <c r="Q232" s="6">
        <v>-499</v>
      </c>
      <c r="S232" s="30"/>
      <c r="W232" s="6"/>
    </row>
    <row r="233" spans="1:23" ht="14.5">
      <c r="A233" s="20" t="s">
        <v>45</v>
      </c>
      <c r="B233" s="29" t="s">
        <v>52</v>
      </c>
      <c r="C233" s="20">
        <v>123.14</v>
      </c>
      <c r="D233" s="20">
        <v>64.599999999999994</v>
      </c>
      <c r="E233" s="55">
        <v>7955</v>
      </c>
      <c r="F233" s="42">
        <v>44524</v>
      </c>
      <c r="G233" s="6">
        <f ca="1">IFERROR(__xludf.DUMMYFUNCTION("IF(E233="""", """", IF(OR(B233=""PURCHASE"", B233=""SWITCH PURCHASE""), E233*-1, E233))
"),-7955)</f>
        <v>-7955</v>
      </c>
      <c r="I233" s="22"/>
      <c r="N233" s="30"/>
      <c r="P233" s="7">
        <v>44454</v>
      </c>
      <c r="Q233" s="6">
        <v>-499</v>
      </c>
      <c r="S233" s="30"/>
      <c r="W233" s="6"/>
    </row>
    <row r="234" spans="1:23" ht="14.5">
      <c r="A234" s="20" t="s">
        <v>60</v>
      </c>
      <c r="B234" s="29" t="s">
        <v>54</v>
      </c>
      <c r="C234" s="20">
        <v>11.4</v>
      </c>
      <c r="D234" s="20">
        <v>89.9</v>
      </c>
      <c r="E234" s="54">
        <v>1024</v>
      </c>
      <c r="F234" s="42">
        <v>44524</v>
      </c>
      <c r="G234" s="17">
        <f ca="1">IFERROR(__xludf.DUMMYFUNCTION("IF(E234="""", """", IF(OR(B234=""PURCHASE"", B234=""SWITCH PURCHASE""), E234*-1, E234))
"),1024)</f>
        <v>1024</v>
      </c>
      <c r="I234" s="22"/>
      <c r="J234" s="17"/>
      <c r="N234" s="30"/>
      <c r="P234" s="7">
        <v>44424</v>
      </c>
      <c r="Q234" s="6">
        <v>-499</v>
      </c>
      <c r="S234" s="30"/>
      <c r="W234" s="6"/>
    </row>
    <row r="235" spans="1:23" ht="14.5">
      <c r="A235" s="20" t="s">
        <v>44</v>
      </c>
      <c r="B235" s="29" t="s">
        <v>54</v>
      </c>
      <c r="C235" s="20">
        <v>102.16</v>
      </c>
      <c r="D235" s="20">
        <v>77.87</v>
      </c>
      <c r="E235" s="55">
        <v>7955</v>
      </c>
      <c r="F235" s="42">
        <v>44524</v>
      </c>
      <c r="G235" s="17">
        <f ca="1">IFERROR(__xludf.DUMMYFUNCTION("IF(E235="""", """", IF(OR(B235=""PURCHASE"", B235=""SWITCH PURCHASE""), E235*-1, E235))
"),7955)</f>
        <v>7955</v>
      </c>
      <c r="I235" s="22"/>
      <c r="J235" s="17"/>
      <c r="N235" s="30"/>
      <c r="P235" s="7">
        <v>44424</v>
      </c>
      <c r="Q235" s="6">
        <v>-499</v>
      </c>
      <c r="S235" s="30"/>
      <c r="W235" s="6"/>
    </row>
    <row r="236" spans="1:23" ht="14.5">
      <c r="A236" s="20" t="s">
        <v>41</v>
      </c>
      <c r="B236" s="29" t="s">
        <v>37</v>
      </c>
      <c r="C236" s="20">
        <v>19.71</v>
      </c>
      <c r="D236" s="20">
        <v>25.37</v>
      </c>
      <c r="E236" s="20">
        <v>499</v>
      </c>
      <c r="F236" s="42">
        <v>44515</v>
      </c>
      <c r="G236" s="6">
        <f ca="1">IFERROR(__xludf.DUMMYFUNCTION("IF(E236="""", """", IF(OR(B236=""PURCHASE"", B236=""SWITCH PURCHASE""), E236*-1, E236))
"),-499)</f>
        <v>-499</v>
      </c>
      <c r="I236" s="22"/>
      <c r="N236" s="30"/>
      <c r="P236" s="7">
        <v>44424</v>
      </c>
      <c r="Q236" s="6">
        <v>-499</v>
      </c>
      <c r="S236" s="30"/>
      <c r="W236" s="6"/>
    </row>
    <row r="237" spans="1:23" ht="14.5">
      <c r="A237" s="20" t="s">
        <v>56</v>
      </c>
      <c r="B237" s="29" t="s">
        <v>37</v>
      </c>
      <c r="C237" s="20">
        <v>4.6399999999999997</v>
      </c>
      <c r="D237" s="20">
        <v>43.1</v>
      </c>
      <c r="E237" s="20">
        <v>199</v>
      </c>
      <c r="F237" s="42">
        <v>44515</v>
      </c>
      <c r="G237" s="6">
        <f ca="1">IFERROR(__xludf.DUMMYFUNCTION("IF(E237="""", """", IF(OR(B237=""PURCHASE"", B237=""SWITCH PURCHASE""), E237*-1, E237))
"),-199)</f>
        <v>-199</v>
      </c>
      <c r="I237" s="22"/>
      <c r="N237" s="30"/>
      <c r="P237" s="7">
        <v>44420</v>
      </c>
      <c r="Q237" s="6">
        <v>-199</v>
      </c>
      <c r="S237" s="30"/>
      <c r="W237" s="6"/>
    </row>
    <row r="238" spans="1:23" ht="14.5">
      <c r="A238" s="20" t="s">
        <v>61</v>
      </c>
      <c r="B238" s="29" t="s">
        <v>37</v>
      </c>
      <c r="C238" s="20">
        <v>6.13</v>
      </c>
      <c r="D238" s="20">
        <v>81.5</v>
      </c>
      <c r="E238" s="20">
        <v>499</v>
      </c>
      <c r="F238" s="42">
        <v>44515</v>
      </c>
      <c r="G238" s="6">
        <f ca="1">IFERROR(__xludf.DUMMYFUNCTION("IF(E238="""", """", IF(OR(B238=""PURCHASE"", B238=""SWITCH PURCHASE""), E238*-1, E238))
"),-499)</f>
        <v>-499</v>
      </c>
      <c r="I238" s="22"/>
      <c r="N238" s="30"/>
      <c r="P238" s="7">
        <v>44393</v>
      </c>
      <c r="Q238" s="6">
        <v>-499</v>
      </c>
      <c r="S238" s="30"/>
      <c r="W238" s="6"/>
    </row>
    <row r="239" spans="1:23" ht="14.5">
      <c r="A239" s="20" t="s">
        <v>59</v>
      </c>
      <c r="B239" s="29" t="s">
        <v>37</v>
      </c>
      <c r="C239" s="20">
        <v>25.81</v>
      </c>
      <c r="D239" s="20">
        <v>19.37</v>
      </c>
      <c r="E239" s="20">
        <v>499</v>
      </c>
      <c r="F239" s="42">
        <v>44515</v>
      </c>
      <c r="G239" s="6">
        <f ca="1">IFERROR(__xludf.DUMMYFUNCTION("IF(E239="""", """", IF(OR(B239=""PURCHASE"", B239=""SWITCH PURCHASE""), E239*-1, E239))
"),-499)</f>
        <v>-499</v>
      </c>
      <c r="I239" s="22"/>
      <c r="N239" s="30"/>
      <c r="P239" s="7">
        <v>44393</v>
      </c>
      <c r="Q239" s="6">
        <v>-499</v>
      </c>
      <c r="S239" s="30"/>
      <c r="W239" s="6"/>
    </row>
    <row r="240" spans="1:23" ht="14.5">
      <c r="A240" s="20" t="s">
        <v>61</v>
      </c>
      <c r="B240" s="29" t="s">
        <v>37</v>
      </c>
      <c r="C240" s="20">
        <v>6.11</v>
      </c>
      <c r="D240" s="20">
        <v>81.84</v>
      </c>
      <c r="E240" s="20">
        <v>499</v>
      </c>
      <c r="F240" s="42">
        <v>44487</v>
      </c>
      <c r="G240" s="6">
        <f ca="1">IFERROR(__xludf.DUMMYFUNCTION("IF(E240="""", """", IF(OR(B240=""PURCHASE"", B240=""SWITCH PURCHASE""), E240*-1, E240))
"),-499)</f>
        <v>-499</v>
      </c>
      <c r="I240" s="22"/>
      <c r="N240" s="30"/>
      <c r="P240" s="7">
        <v>44393</v>
      </c>
      <c r="Q240" s="6">
        <v>-499</v>
      </c>
      <c r="S240" s="30"/>
      <c r="W240" s="6"/>
    </row>
    <row r="241" spans="1:23" ht="14.5">
      <c r="A241" s="20" t="s">
        <v>59</v>
      </c>
      <c r="B241" s="29" t="s">
        <v>37</v>
      </c>
      <c r="C241" s="20">
        <v>25.4</v>
      </c>
      <c r="D241" s="20">
        <v>19.68</v>
      </c>
      <c r="E241" s="20">
        <v>499</v>
      </c>
      <c r="F241" s="42">
        <v>44487</v>
      </c>
      <c r="G241" s="6">
        <f ca="1">IFERROR(__xludf.DUMMYFUNCTION("IF(E241="""", """", IF(OR(B241=""PURCHASE"", B241=""SWITCH PURCHASE""), E241*-1, E241))
"),-499)</f>
        <v>-499</v>
      </c>
      <c r="I241" s="22"/>
      <c r="N241" s="30"/>
      <c r="P241" s="7">
        <v>44392</v>
      </c>
      <c r="Q241" s="6">
        <v>-499</v>
      </c>
      <c r="S241" s="30"/>
      <c r="W241" s="6"/>
    </row>
    <row r="242" spans="1:23" ht="14.5">
      <c r="A242" s="20" t="s">
        <v>56</v>
      </c>
      <c r="B242" s="29" t="s">
        <v>37</v>
      </c>
      <c r="C242" s="20">
        <v>4.6500000000000004</v>
      </c>
      <c r="D242" s="20">
        <v>42.99</v>
      </c>
      <c r="E242" s="20">
        <v>199</v>
      </c>
      <c r="F242" s="42">
        <v>44487</v>
      </c>
      <c r="G242" s="6">
        <f ca="1">IFERROR(__xludf.DUMMYFUNCTION("IF(E242="""", """", IF(OR(B242=""PURCHASE"", B242=""SWITCH PURCHASE""), E242*-1, E242))
"),-199)</f>
        <v>-199</v>
      </c>
      <c r="I242" s="22"/>
      <c r="N242" s="30"/>
      <c r="P242" s="7">
        <v>44362</v>
      </c>
      <c r="Q242" s="6">
        <v>-499</v>
      </c>
      <c r="S242" s="30"/>
      <c r="W242" s="6"/>
    </row>
    <row r="243" spans="1:23" ht="14.5">
      <c r="A243" s="20" t="s">
        <v>41</v>
      </c>
      <c r="B243" s="29" t="s">
        <v>37</v>
      </c>
      <c r="C243" s="20">
        <v>20.98</v>
      </c>
      <c r="D243" s="20">
        <v>23.83</v>
      </c>
      <c r="E243" s="20">
        <v>499</v>
      </c>
      <c r="F243" s="42">
        <v>44487</v>
      </c>
      <c r="G243" s="6">
        <f ca="1">IFERROR(__xludf.DUMMYFUNCTION("IF(E243="""", """", IF(OR(B243=""PURCHASE"", B243=""SWITCH PURCHASE""), E243*-1, E243))
"),-499)</f>
        <v>-499</v>
      </c>
      <c r="I243" s="22"/>
      <c r="N243" s="30"/>
      <c r="P243" s="7">
        <v>44362</v>
      </c>
      <c r="Q243" s="6">
        <v>-499</v>
      </c>
      <c r="S243" s="30"/>
      <c r="W243" s="6"/>
    </row>
    <row r="244" spans="1:23" ht="14.5">
      <c r="A244" s="20" t="s">
        <v>56</v>
      </c>
      <c r="B244" s="29" t="s">
        <v>37</v>
      </c>
      <c r="C244" s="20">
        <v>4.82</v>
      </c>
      <c r="D244" s="20">
        <v>41.53</v>
      </c>
      <c r="E244" s="20">
        <v>199</v>
      </c>
      <c r="F244" s="42">
        <v>44454</v>
      </c>
      <c r="G244" s="6">
        <f ca="1">IFERROR(__xludf.DUMMYFUNCTION("IF(E244="""", """", IF(OR(B244=""PURCHASE"", B244=""SWITCH PURCHASE""), E244*-1, E244))
"),-199)</f>
        <v>-199</v>
      </c>
      <c r="I244" s="22"/>
      <c r="N244" s="30"/>
      <c r="P244" s="7">
        <v>44333</v>
      </c>
      <c r="Q244" s="6">
        <v>-499</v>
      </c>
      <c r="S244" s="30"/>
      <c r="W244" s="6"/>
    </row>
    <row r="245" spans="1:23" ht="14.5">
      <c r="A245" s="20" t="s">
        <v>61</v>
      </c>
      <c r="B245" s="29" t="s">
        <v>37</v>
      </c>
      <c r="C245" s="20">
        <v>6.43</v>
      </c>
      <c r="D245" s="20">
        <v>77.7</v>
      </c>
      <c r="E245" s="20">
        <v>499</v>
      </c>
      <c r="F245" s="42">
        <v>44454</v>
      </c>
      <c r="G245" s="6">
        <f ca="1">IFERROR(__xludf.DUMMYFUNCTION("IF(E245="""", """", IF(OR(B245=""PURCHASE"", B245=""SWITCH PURCHASE""), E245*-1, E245))
"),-499)</f>
        <v>-499</v>
      </c>
      <c r="I245" s="22"/>
      <c r="N245" s="30"/>
      <c r="P245" s="7">
        <v>44333</v>
      </c>
      <c r="Q245" s="6">
        <v>-499</v>
      </c>
      <c r="S245" s="30"/>
      <c r="W245" s="6"/>
    </row>
    <row r="246" spans="1:23" ht="14.5">
      <c r="A246" s="20" t="s">
        <v>59</v>
      </c>
      <c r="B246" s="29" t="s">
        <v>37</v>
      </c>
      <c r="C246" s="20">
        <v>26.71</v>
      </c>
      <c r="D246" s="20">
        <v>18.72</v>
      </c>
      <c r="E246" s="20">
        <v>499</v>
      </c>
      <c r="F246" s="42">
        <v>44454</v>
      </c>
      <c r="G246" s="6">
        <f ca="1">IFERROR(__xludf.DUMMYFUNCTION("IF(E246="""", """", IF(OR(B246=""PURCHASE"", B246=""SWITCH PURCHASE""), E246*-1, E246))
"),-499)</f>
        <v>-499</v>
      </c>
      <c r="I246" s="22"/>
      <c r="N246" s="30"/>
      <c r="P246" s="7">
        <v>44301</v>
      </c>
      <c r="Q246" s="6">
        <v>-499</v>
      </c>
      <c r="S246" s="30"/>
      <c r="W246" s="6"/>
    </row>
    <row r="247" spans="1:23" ht="14.5">
      <c r="A247" s="20" t="s">
        <v>41</v>
      </c>
      <c r="B247" s="29" t="s">
        <v>37</v>
      </c>
      <c r="C247" s="20">
        <v>20.83</v>
      </c>
      <c r="D247" s="20">
        <v>24</v>
      </c>
      <c r="E247" s="20">
        <v>499</v>
      </c>
      <c r="F247" s="42">
        <v>44454</v>
      </c>
      <c r="G247" s="6">
        <f ca="1">IFERROR(__xludf.DUMMYFUNCTION("IF(E247="""", """", IF(OR(B247=""PURCHASE"", B247=""SWITCH PURCHASE""), E247*-1, E247))
"),-499)</f>
        <v>-499</v>
      </c>
      <c r="I247" s="22"/>
      <c r="N247" s="30"/>
      <c r="P247" s="7">
        <v>44301</v>
      </c>
      <c r="Q247" s="6">
        <v>-499</v>
      </c>
      <c r="S247" s="30"/>
      <c r="W247" s="6"/>
    </row>
    <row r="248" spans="1:23" ht="14.5">
      <c r="A248" s="20" t="s">
        <v>59</v>
      </c>
      <c r="B248" s="29" t="s">
        <v>37</v>
      </c>
      <c r="C248" s="20">
        <v>28.23</v>
      </c>
      <c r="D248" s="20">
        <v>17.71</v>
      </c>
      <c r="E248" s="20">
        <v>499</v>
      </c>
      <c r="F248" s="42">
        <v>44424</v>
      </c>
      <c r="G248" s="6">
        <f ca="1">IFERROR(__xludf.DUMMYFUNCTION("IF(E248="""", """", IF(OR(B248=""PURCHASE"", B248=""SWITCH PURCHASE""), E248*-1, E248))
"),-499)</f>
        <v>-499</v>
      </c>
      <c r="I248" s="22"/>
      <c r="N248" s="30"/>
      <c r="P248" s="7">
        <v>44270</v>
      </c>
      <c r="Q248" s="6">
        <v>-499</v>
      </c>
      <c r="S248" s="30"/>
      <c r="W248" s="6"/>
    </row>
    <row r="249" spans="1:23" ht="14.5">
      <c r="A249" s="20" t="s">
        <v>61</v>
      </c>
      <c r="B249" s="29" t="s">
        <v>37</v>
      </c>
      <c r="C249" s="20">
        <v>7.03</v>
      </c>
      <c r="D249" s="20">
        <v>71.14</v>
      </c>
      <c r="E249" s="20">
        <v>499</v>
      </c>
      <c r="F249" s="42">
        <v>44424</v>
      </c>
      <c r="G249" s="6">
        <f ca="1">IFERROR(__xludf.DUMMYFUNCTION("IF(E249="""", """", IF(OR(B249=""PURCHASE"", B249=""SWITCH PURCHASE""), E249*-1, E249))
"),-499)</f>
        <v>-499</v>
      </c>
      <c r="I249" s="22"/>
      <c r="N249" s="30"/>
      <c r="P249" s="7">
        <v>44270</v>
      </c>
      <c r="Q249" s="6">
        <v>-499</v>
      </c>
      <c r="S249" s="30"/>
      <c r="W249" s="6"/>
    </row>
    <row r="250" spans="1:23" ht="14.5">
      <c r="A250" s="20" t="s">
        <v>41</v>
      </c>
      <c r="B250" s="29" t="s">
        <v>37</v>
      </c>
      <c r="C250" s="20">
        <v>20.97</v>
      </c>
      <c r="D250" s="20">
        <v>23.85</v>
      </c>
      <c r="E250" s="20">
        <v>499</v>
      </c>
      <c r="F250" s="42">
        <v>44424</v>
      </c>
      <c r="G250" s="6">
        <f ca="1">IFERROR(__xludf.DUMMYFUNCTION("IF(E250="""", """", IF(OR(B250=""PURCHASE"", B250=""SWITCH PURCHASE""), E250*-1, E250))
"),-499)</f>
        <v>-499</v>
      </c>
      <c r="I250" s="22"/>
      <c r="N250" s="30"/>
      <c r="P250" s="7">
        <v>44242</v>
      </c>
      <c r="Q250" s="6">
        <v>-499</v>
      </c>
      <c r="S250" s="30"/>
      <c r="W250" s="6"/>
    </row>
    <row r="251" spans="1:23" ht="14.5">
      <c r="A251" s="20" t="s">
        <v>56</v>
      </c>
      <c r="B251" s="29" t="s">
        <v>37</v>
      </c>
      <c r="C251" s="20">
        <v>5.39</v>
      </c>
      <c r="D251" s="20">
        <v>37.07</v>
      </c>
      <c r="E251" s="20">
        <v>199</v>
      </c>
      <c r="F251" s="42">
        <v>44420</v>
      </c>
      <c r="G251" s="6">
        <f ca="1">IFERROR(__xludf.DUMMYFUNCTION("IF(E251="""", """", IF(OR(B251=""PURCHASE"", B251=""SWITCH PURCHASE""), E251*-1, E251))
"),-199)</f>
        <v>-199</v>
      </c>
      <c r="I251" s="22"/>
      <c r="N251" s="30"/>
      <c r="P251" s="7">
        <v>44242</v>
      </c>
      <c r="Q251" s="6">
        <v>-995</v>
      </c>
      <c r="S251" s="30"/>
      <c r="W251" s="6"/>
    </row>
    <row r="252" spans="1:23" ht="14.5">
      <c r="A252" s="20" t="s">
        <v>62</v>
      </c>
      <c r="B252" s="29" t="s">
        <v>54</v>
      </c>
      <c r="C252" s="20">
        <v>3.01</v>
      </c>
      <c r="D252" s="20">
        <v>334.82</v>
      </c>
      <c r="E252" s="54">
        <v>1009</v>
      </c>
      <c r="F252" s="42">
        <v>44393</v>
      </c>
      <c r="G252" s="17">
        <f ca="1">IFERROR(__xludf.DUMMYFUNCTION("IF(E252="""", """", IF(OR(B252=""PURCHASE"", B252=""SWITCH PURCHASE""), E252*-1, E252))
"),1009)</f>
        <v>1009</v>
      </c>
      <c r="I252" s="22"/>
      <c r="J252" s="17"/>
      <c r="N252" s="30"/>
      <c r="P252" s="7">
        <v>44242</v>
      </c>
      <c r="Q252" s="6">
        <v>995</v>
      </c>
      <c r="S252" s="30"/>
      <c r="W252" s="6"/>
    </row>
    <row r="253" spans="1:23" ht="14.5">
      <c r="A253" s="20" t="s">
        <v>63</v>
      </c>
      <c r="B253" s="29" t="s">
        <v>52</v>
      </c>
      <c r="C253" s="20">
        <v>11.4</v>
      </c>
      <c r="D253" s="20">
        <v>88.51</v>
      </c>
      <c r="E253" s="54">
        <v>1009</v>
      </c>
      <c r="F253" s="42">
        <v>44393</v>
      </c>
      <c r="G253" s="6">
        <f ca="1">IFERROR(__xludf.DUMMYFUNCTION("IF(E253="""", """", IF(OR(B253=""PURCHASE"", B253=""SWITCH PURCHASE""), E253*-1, E253))
"),-1009)</f>
        <v>-1009</v>
      </c>
      <c r="I253" s="22"/>
      <c r="N253" s="30"/>
      <c r="P253" s="7">
        <v>44242</v>
      </c>
      <c r="Q253" s="6">
        <v>-499</v>
      </c>
      <c r="S253" s="30"/>
      <c r="W253" s="6"/>
    </row>
    <row r="254" spans="1:23" ht="14.5">
      <c r="A254" s="20" t="s">
        <v>59</v>
      </c>
      <c r="B254" s="29" t="s">
        <v>37</v>
      </c>
      <c r="C254" s="20">
        <v>29.55</v>
      </c>
      <c r="D254" s="20">
        <v>16.920000000000002</v>
      </c>
      <c r="E254" s="20">
        <v>499</v>
      </c>
      <c r="F254" s="42">
        <v>44393</v>
      </c>
      <c r="G254" s="6">
        <f ca="1">IFERROR(__xludf.DUMMYFUNCTION("IF(E254="""", """", IF(OR(B254=""PURCHASE"", B254=""SWITCH PURCHASE""), E254*-1, E254))
"),-499)</f>
        <v>-499</v>
      </c>
      <c r="I254" s="22"/>
      <c r="N254" s="30"/>
      <c r="P254" s="7">
        <v>44211</v>
      </c>
      <c r="Q254" s="6">
        <v>-499</v>
      </c>
      <c r="S254" s="30"/>
      <c r="W254" s="6"/>
    </row>
    <row r="255" spans="1:23" ht="14.5">
      <c r="A255" s="20" t="s">
        <v>56</v>
      </c>
      <c r="B255" s="29" t="s">
        <v>37</v>
      </c>
      <c r="C255" s="20">
        <v>14.48</v>
      </c>
      <c r="D255" s="20">
        <v>34.54</v>
      </c>
      <c r="E255" s="20">
        <v>499</v>
      </c>
      <c r="F255" s="42">
        <v>44393</v>
      </c>
      <c r="G255" s="6">
        <f ca="1">IFERROR(__xludf.DUMMYFUNCTION("IF(E255="""", """", IF(OR(B255=""PURCHASE"", B255=""SWITCH PURCHASE""), E255*-1, E255))
"),-499)</f>
        <v>-499</v>
      </c>
      <c r="I255" s="22"/>
      <c r="N255" s="30"/>
      <c r="P255" s="7">
        <v>44208</v>
      </c>
      <c r="Q255" s="6">
        <v>-999</v>
      </c>
      <c r="S255" s="30"/>
      <c r="W255" s="6"/>
    </row>
    <row r="256" spans="1:23" ht="14.5">
      <c r="A256" s="20" t="s">
        <v>41</v>
      </c>
      <c r="B256" s="29" t="s">
        <v>37</v>
      </c>
      <c r="C256" s="20">
        <v>21.41</v>
      </c>
      <c r="D256" s="20">
        <v>23.35</v>
      </c>
      <c r="E256" s="20">
        <v>499</v>
      </c>
      <c r="F256" s="42">
        <v>44393</v>
      </c>
      <c r="G256" s="6">
        <f ca="1">IFERROR(__xludf.DUMMYFUNCTION("IF(E256="""", """", IF(OR(B256=""PURCHASE"", B256=""SWITCH PURCHASE""), E256*-1, E256))
"),-499)</f>
        <v>-499</v>
      </c>
      <c r="I256" s="22"/>
      <c r="N256" s="30"/>
      <c r="P256" s="7">
        <v>44181</v>
      </c>
      <c r="Q256" s="6">
        <v>-499</v>
      </c>
      <c r="S256" s="30"/>
      <c r="W256" s="6"/>
    </row>
    <row r="257" spans="1:23" ht="14.5">
      <c r="A257" s="20" t="s">
        <v>61</v>
      </c>
      <c r="B257" s="29" t="s">
        <v>37</v>
      </c>
      <c r="C257" s="20">
        <v>7.17</v>
      </c>
      <c r="D257" s="20">
        <v>69.709999999999994</v>
      </c>
      <c r="E257" s="20">
        <v>499</v>
      </c>
      <c r="F257" s="42">
        <v>44392</v>
      </c>
      <c r="G257" s="6">
        <f ca="1">IFERROR(__xludf.DUMMYFUNCTION("IF(E257="""", """", IF(OR(B257=""PURCHASE"", B257=""SWITCH PURCHASE""), E257*-1, E257))
"),-499)</f>
        <v>-499</v>
      </c>
      <c r="I257" s="22"/>
      <c r="N257" s="30"/>
      <c r="P257" s="7">
        <v>44180</v>
      </c>
      <c r="Q257" s="6">
        <v>-499</v>
      </c>
      <c r="S257" s="30"/>
      <c r="W257" s="6"/>
    </row>
    <row r="258" spans="1:23" ht="14.5">
      <c r="A258" s="20" t="s">
        <v>41</v>
      </c>
      <c r="B258" s="29" t="s">
        <v>52</v>
      </c>
      <c r="C258" s="20">
        <v>165.04</v>
      </c>
      <c r="D258" s="20">
        <v>23.21</v>
      </c>
      <c r="E258" s="54">
        <v>3830</v>
      </c>
      <c r="F258" s="42">
        <v>44376</v>
      </c>
      <c r="G258" s="6">
        <f ca="1">IFERROR(__xludf.DUMMYFUNCTION("IF(E258="""", """", IF(OR(B258=""PURCHASE"", B258=""SWITCH PURCHASE""), E258*-1, E258))
"),-3830)</f>
        <v>-3830</v>
      </c>
      <c r="H258" s="9" t="s">
        <v>64</v>
      </c>
      <c r="I258" s="22"/>
      <c r="N258" s="30"/>
      <c r="P258" s="7">
        <v>44169</v>
      </c>
      <c r="Q258" s="6">
        <v>-499</v>
      </c>
      <c r="S258" s="30"/>
      <c r="W258" s="6"/>
    </row>
    <row r="259" spans="1:23" ht="14.5">
      <c r="A259" s="20" t="s">
        <v>65</v>
      </c>
      <c r="B259" s="29" t="s">
        <v>54</v>
      </c>
      <c r="C259" s="20">
        <v>265.72000000000003</v>
      </c>
      <c r="D259" s="20">
        <v>14.41</v>
      </c>
      <c r="E259" s="54">
        <v>3830</v>
      </c>
      <c r="F259" s="42">
        <v>44376</v>
      </c>
      <c r="G259" s="17">
        <f ca="1">IFERROR(__xludf.DUMMYFUNCTION("IF(E259="""", """", IF(OR(B259=""PURCHASE"", B259=""SWITCH PURCHASE""), E259*-1, E259))
"),3830)</f>
        <v>3830</v>
      </c>
      <c r="I259" s="22"/>
      <c r="J259" s="17"/>
      <c r="N259" s="30"/>
      <c r="P259" s="7">
        <v>44162</v>
      </c>
      <c r="Q259" s="6">
        <v>495</v>
      </c>
      <c r="S259" s="30"/>
      <c r="W259" s="6"/>
    </row>
    <row r="260" spans="1:23" ht="14.5">
      <c r="A260" s="20" t="s">
        <v>61</v>
      </c>
      <c r="B260" s="29" t="s">
        <v>37</v>
      </c>
      <c r="C260" s="20">
        <v>7.44</v>
      </c>
      <c r="D260" s="20">
        <v>67.22</v>
      </c>
      <c r="E260" s="20">
        <v>499</v>
      </c>
      <c r="F260" s="42">
        <v>44362</v>
      </c>
      <c r="G260" s="6">
        <f ca="1">IFERROR(__xludf.DUMMYFUNCTION("IF(E260="""", """", IF(OR(B260=""PURCHASE"", B260=""SWITCH PURCHASE""), E260*-1, E260))
"),-499)</f>
        <v>-499</v>
      </c>
      <c r="I260" s="22"/>
      <c r="N260" s="30"/>
      <c r="P260" s="7">
        <v>44152</v>
      </c>
      <c r="Q260" s="6">
        <v>101</v>
      </c>
      <c r="S260" s="30"/>
      <c r="W260" s="6"/>
    </row>
    <row r="261" spans="1:23" ht="14.5">
      <c r="A261" s="20" t="s">
        <v>65</v>
      </c>
      <c r="B261" s="29" t="s">
        <v>37</v>
      </c>
      <c r="C261" s="20">
        <v>35.369999999999997</v>
      </c>
      <c r="D261" s="20">
        <v>14.14</v>
      </c>
      <c r="E261" s="20">
        <v>499</v>
      </c>
      <c r="F261" s="42">
        <v>44362</v>
      </c>
      <c r="G261" s="6">
        <f ca="1">IFERROR(__xludf.DUMMYFUNCTION("IF(E261="""", """", IF(OR(B261=""PURCHASE"", B261=""SWITCH PURCHASE""), E261*-1, E261))
"),-499)</f>
        <v>-499</v>
      </c>
      <c r="I261" s="22"/>
      <c r="N261" s="30"/>
      <c r="P261" s="7">
        <v>44126</v>
      </c>
      <c r="Q261" s="6">
        <v>-100</v>
      </c>
      <c r="S261" s="30"/>
      <c r="W261" s="6"/>
    </row>
    <row r="262" spans="1:23" ht="14.5">
      <c r="A262" s="20" t="s">
        <v>65</v>
      </c>
      <c r="B262" s="29" t="s">
        <v>37</v>
      </c>
      <c r="C262" s="20">
        <v>36.08</v>
      </c>
      <c r="D262" s="20">
        <v>13.86</v>
      </c>
      <c r="E262" s="20">
        <v>499</v>
      </c>
      <c r="F262" s="52">
        <v>44333</v>
      </c>
      <c r="G262" s="6">
        <f ca="1">IFERROR(__xludf.DUMMYFUNCTION("IF(E262="""", """", IF(OR(B262=""PURCHASE"", B262=""SWITCH PURCHASE""), E262*-1, E262))
"),-499)</f>
        <v>-499</v>
      </c>
      <c r="I262" s="53"/>
      <c r="N262" s="30"/>
      <c r="P262" s="7">
        <v>44126</v>
      </c>
      <c r="Q262" s="6">
        <v>-499</v>
      </c>
      <c r="S262" s="30"/>
      <c r="W262" s="6"/>
    </row>
    <row r="263" spans="1:23" ht="14.5">
      <c r="A263" s="20" t="s">
        <v>61</v>
      </c>
      <c r="B263" s="29" t="s">
        <v>37</v>
      </c>
      <c r="C263" s="20">
        <v>8.06</v>
      </c>
      <c r="D263" s="20">
        <v>62.06</v>
      </c>
      <c r="E263" s="20">
        <v>499</v>
      </c>
      <c r="F263" s="52">
        <v>44333</v>
      </c>
      <c r="G263" s="6">
        <f ca="1">IFERROR(__xludf.DUMMYFUNCTION("IF(E263="""", """", IF(OR(B263=""PURCHASE"", B263=""SWITCH PURCHASE""), E263*-1, E263))
"),-499)</f>
        <v>-499</v>
      </c>
      <c r="I263" s="53"/>
      <c r="N263" s="30"/>
      <c r="P263" s="7">
        <v>44126</v>
      </c>
      <c r="Q263" s="6">
        <v>-499</v>
      </c>
      <c r="S263" s="30"/>
      <c r="W263" s="6"/>
    </row>
    <row r="264" spans="1:23" ht="14.5">
      <c r="A264" s="20" t="s">
        <v>65</v>
      </c>
      <c r="B264" s="29" t="s">
        <v>37</v>
      </c>
      <c r="C264" s="20">
        <v>35.65</v>
      </c>
      <c r="D264" s="20">
        <v>14.02</v>
      </c>
      <c r="E264" s="20">
        <v>499</v>
      </c>
      <c r="F264" s="42">
        <v>44301</v>
      </c>
      <c r="G264" s="6">
        <f ca="1">IFERROR(__xludf.DUMMYFUNCTION("IF(E264="""", """", IF(OR(B264=""PURCHASE"", B264=""SWITCH PURCHASE""), E264*-1, E264))
"),-499)</f>
        <v>-499</v>
      </c>
      <c r="I264" s="22"/>
      <c r="N264" s="30"/>
      <c r="P264" s="25">
        <f ca="1">TODAY()</f>
        <v>45862</v>
      </c>
      <c r="Q264" s="57">
        <f ca="1">K305</f>
        <v>60968.395880000004</v>
      </c>
      <c r="S264" s="30"/>
      <c r="W264" s="6"/>
    </row>
    <row r="265" spans="1:23" ht="14.5">
      <c r="A265" s="20" t="s">
        <v>61</v>
      </c>
      <c r="B265" s="29" t="s">
        <v>37</v>
      </c>
      <c r="C265" s="20">
        <v>8.41</v>
      </c>
      <c r="D265" s="20">
        <v>59.47</v>
      </c>
      <c r="E265" s="20">
        <v>499</v>
      </c>
      <c r="F265" s="42">
        <v>44301</v>
      </c>
      <c r="G265" s="6">
        <f ca="1">IFERROR(__xludf.DUMMYFUNCTION("IF(E265="""", """", IF(OR(B265=""PURCHASE"", B265=""SWITCH PURCHASE""), E265*-1, E265))
"),-499)</f>
        <v>-499</v>
      </c>
      <c r="I265" s="22"/>
      <c r="N265" s="30"/>
      <c r="P265" s="7"/>
      <c r="S265" s="30"/>
      <c r="W265" s="6"/>
    </row>
    <row r="266" spans="1:23" ht="14.5">
      <c r="A266" s="20" t="s">
        <v>61</v>
      </c>
      <c r="B266" s="29" t="s">
        <v>37</v>
      </c>
      <c r="C266" s="20">
        <v>8.17</v>
      </c>
      <c r="D266" s="20">
        <v>61.23</v>
      </c>
      <c r="E266" s="20">
        <v>499</v>
      </c>
      <c r="F266" s="42">
        <v>44270</v>
      </c>
      <c r="G266" s="6">
        <f ca="1">IFERROR(__xludf.DUMMYFUNCTION("IF(E266="""", """", IF(OR(B266=""PURCHASE"", B266=""SWITCH PURCHASE""), E266*-1, E266))
"),-499)</f>
        <v>-499</v>
      </c>
      <c r="I266" s="22"/>
      <c r="N266" s="30"/>
      <c r="P266" s="7"/>
      <c r="S266" s="30"/>
      <c r="W266" s="6"/>
    </row>
    <row r="267" spans="1:23" ht="14.5">
      <c r="A267" s="20" t="s">
        <v>65</v>
      </c>
      <c r="B267" s="29" t="s">
        <v>37</v>
      </c>
      <c r="C267" s="20">
        <v>38.6</v>
      </c>
      <c r="D267" s="20">
        <v>12.95</v>
      </c>
      <c r="E267" s="20">
        <v>499</v>
      </c>
      <c r="F267" s="42">
        <v>44270</v>
      </c>
      <c r="G267" s="6">
        <f ca="1">IFERROR(__xludf.DUMMYFUNCTION("IF(E267="""", """", IF(OR(B267=""PURCHASE"", B267=""SWITCH PURCHASE""), E267*-1, E267))
"),-499)</f>
        <v>-499</v>
      </c>
      <c r="I267" s="22"/>
      <c r="N267" s="30"/>
      <c r="P267" s="27" t="s">
        <v>21</v>
      </c>
      <c r="Q267" s="28">
        <f ca="1">XIRR(Q14:Q264,P14:P264)</f>
        <v>0.1370654881000519</v>
      </c>
      <c r="S267" s="30"/>
      <c r="W267" s="6"/>
    </row>
    <row r="268" spans="1:23" ht="14.5">
      <c r="A268" s="20" t="s">
        <v>61</v>
      </c>
      <c r="B268" s="29" t="s">
        <v>37</v>
      </c>
      <c r="C268" s="20">
        <v>8.35</v>
      </c>
      <c r="D268" s="20">
        <v>59.91</v>
      </c>
      <c r="E268" s="20">
        <v>499</v>
      </c>
      <c r="F268" s="42">
        <v>44242</v>
      </c>
      <c r="G268" s="6">
        <f ca="1">IFERROR(__xludf.DUMMYFUNCTION("IF(E268="""", """", IF(OR(B268=""PURCHASE"", B268=""SWITCH PURCHASE""), E268*-1, E268))
"),-499)</f>
        <v>-499</v>
      </c>
      <c r="I268" s="22"/>
      <c r="L268" s="7"/>
      <c r="N268" s="30"/>
      <c r="S268" s="30"/>
      <c r="W268" s="6"/>
    </row>
    <row r="269" spans="1:23" ht="14.5">
      <c r="A269" s="20" t="s">
        <v>66</v>
      </c>
      <c r="B269" s="29" t="s">
        <v>37</v>
      </c>
      <c r="C269" s="20">
        <v>3.01</v>
      </c>
      <c r="D269" s="20">
        <v>330.18</v>
      </c>
      <c r="E269" s="20">
        <v>995</v>
      </c>
      <c r="F269" s="42">
        <v>44242</v>
      </c>
      <c r="G269" s="6">
        <f ca="1">IFERROR(__xludf.DUMMYFUNCTION("IF(E269="""", """", IF(OR(B269=""PURCHASE"", B269=""SWITCH PURCHASE""), E269*-1, E269))
"),-995)</f>
        <v>-995</v>
      </c>
      <c r="I269" s="22"/>
      <c r="L269" s="7"/>
      <c r="N269" s="30"/>
      <c r="S269" s="30"/>
      <c r="W269" s="6"/>
    </row>
    <row r="270" spans="1:23" ht="14.5">
      <c r="A270" s="20" t="s">
        <v>67</v>
      </c>
      <c r="B270" s="29" t="s">
        <v>40</v>
      </c>
      <c r="C270" s="20">
        <v>11.56</v>
      </c>
      <c r="D270" s="20">
        <v>86.06</v>
      </c>
      <c r="E270" s="20">
        <v>995</v>
      </c>
      <c r="F270" s="42">
        <v>44242</v>
      </c>
      <c r="G270" s="6">
        <f ca="1">IFERROR(__xludf.DUMMYFUNCTION("IF(E270="""", """", IF(OR(B270=""PURCHASE"", B270=""SWITCH PURCHASE""), E270*-1, E270))
"),995)</f>
        <v>995</v>
      </c>
      <c r="I270" s="22"/>
      <c r="L270" s="7"/>
      <c r="N270" s="30"/>
      <c r="S270" s="30"/>
      <c r="W270" s="6"/>
    </row>
    <row r="271" spans="1:23" ht="14.5">
      <c r="A271" s="20" t="s">
        <v>68</v>
      </c>
      <c r="B271" s="29" t="s">
        <v>37</v>
      </c>
      <c r="C271" s="20">
        <v>38.65</v>
      </c>
      <c r="D271" s="20">
        <v>12.94</v>
      </c>
      <c r="E271" s="20">
        <v>499</v>
      </c>
      <c r="F271" s="42">
        <v>44242</v>
      </c>
      <c r="G271" s="6">
        <f ca="1">IFERROR(__xludf.DUMMYFUNCTION("IF(E271="""", """", IF(OR(B271=""PURCHASE"", B271=""SWITCH PURCHASE""), E271*-1, E271))
"),-499)</f>
        <v>-499</v>
      </c>
      <c r="I271" s="22"/>
      <c r="L271" s="7"/>
      <c r="N271" s="30"/>
      <c r="S271" s="30"/>
      <c r="W271" s="6"/>
    </row>
    <row r="272" spans="1:23" ht="14.5">
      <c r="A272" s="20" t="s">
        <v>61</v>
      </c>
      <c r="B272" s="29" t="s">
        <v>37</v>
      </c>
      <c r="C272" s="20">
        <v>8.9</v>
      </c>
      <c r="D272" s="20">
        <v>56.2</v>
      </c>
      <c r="E272" s="20">
        <v>499</v>
      </c>
      <c r="F272" s="42">
        <v>44211</v>
      </c>
      <c r="G272" s="6">
        <f ca="1">IFERROR(__xludf.DUMMYFUNCTION("IF(E272="""", """", IF(OR(B272=""PURCHASE"", B272=""SWITCH PURCHASE""), E272*-1, E272))
"),-499)</f>
        <v>-499</v>
      </c>
      <c r="I272" s="22"/>
      <c r="L272" s="7"/>
      <c r="N272" s="30"/>
      <c r="S272" s="30"/>
      <c r="W272" s="6"/>
    </row>
    <row r="273" spans="1:29" ht="14.5">
      <c r="A273" s="20" t="s">
        <v>67</v>
      </c>
      <c r="B273" s="29" t="s">
        <v>37</v>
      </c>
      <c r="C273" s="20">
        <v>11.56</v>
      </c>
      <c r="D273" s="20">
        <v>86.48</v>
      </c>
      <c r="E273" s="20">
        <v>999</v>
      </c>
      <c r="F273" s="42">
        <v>44208</v>
      </c>
      <c r="G273" s="6">
        <f ca="1">IFERROR(__xludf.DUMMYFUNCTION("IF(E273="""", """", IF(OR(B273=""PURCHASE"", B273=""SWITCH PURCHASE""), E273*-1, E273))
"),-999)</f>
        <v>-999</v>
      </c>
      <c r="I273" s="22"/>
      <c r="L273" s="7"/>
      <c r="N273" s="30"/>
      <c r="S273" s="30"/>
      <c r="W273" s="6"/>
    </row>
    <row r="274" spans="1:29" ht="14.5">
      <c r="A274" s="20" t="s">
        <v>68</v>
      </c>
      <c r="B274" s="29" t="s">
        <v>37</v>
      </c>
      <c r="C274" s="20">
        <v>40.57</v>
      </c>
      <c r="D274" s="20">
        <v>12.32</v>
      </c>
      <c r="E274" s="20">
        <v>499</v>
      </c>
      <c r="F274" s="42">
        <v>44181</v>
      </c>
      <c r="G274" s="6">
        <f ca="1">IFERROR(__xludf.DUMMYFUNCTION("IF(E274="""", """", IF(OR(B274=""PURCHASE"", B274=""SWITCH PURCHASE""), E274*-1, E274))
"),-499)</f>
        <v>-499</v>
      </c>
      <c r="I274" s="22"/>
      <c r="L274" s="7"/>
      <c r="N274" s="30"/>
      <c r="S274" s="30"/>
      <c r="W274" s="6"/>
    </row>
    <row r="275" spans="1:29" ht="14.5">
      <c r="A275" s="20" t="s">
        <v>61</v>
      </c>
      <c r="B275" s="29" t="s">
        <v>37</v>
      </c>
      <c r="C275" s="20">
        <v>9.3000000000000007</v>
      </c>
      <c r="D275" s="20">
        <v>53.76</v>
      </c>
      <c r="E275" s="20">
        <v>499</v>
      </c>
      <c r="F275" s="42">
        <v>44180</v>
      </c>
      <c r="G275" s="6">
        <f ca="1">IFERROR(__xludf.DUMMYFUNCTION("IF(E275="""", """", IF(OR(B275=""PURCHASE"", B275=""SWITCH PURCHASE""), E275*-1, E275))
"),-499)</f>
        <v>-499</v>
      </c>
      <c r="L275" s="7"/>
      <c r="N275" s="30"/>
      <c r="S275" s="30"/>
      <c r="W275" s="6"/>
    </row>
    <row r="276" spans="1:29" ht="14.5">
      <c r="A276" s="20" t="s">
        <v>68</v>
      </c>
      <c r="B276" s="29" t="s">
        <v>37</v>
      </c>
      <c r="C276" s="20">
        <v>40.81</v>
      </c>
      <c r="D276" s="20">
        <v>12.25</v>
      </c>
      <c r="E276" s="20">
        <v>499</v>
      </c>
      <c r="F276" s="50">
        <v>44169</v>
      </c>
      <c r="G276" s="6">
        <f ca="1">IFERROR(__xludf.DUMMYFUNCTION("IF(E276="""", """", IF(OR(B276=""PURCHASE"", B276=""SWITCH PURCHASE""), E276*-1, E276))
"),-499)</f>
        <v>-499</v>
      </c>
      <c r="L276" s="7"/>
      <c r="N276" s="30"/>
      <c r="S276" s="30"/>
      <c r="W276" s="6"/>
    </row>
    <row r="277" spans="1:29" ht="14.5">
      <c r="A277" s="20" t="s">
        <v>69</v>
      </c>
      <c r="B277" s="29" t="s">
        <v>40</v>
      </c>
      <c r="C277" s="20">
        <v>22.38</v>
      </c>
      <c r="D277" s="20">
        <v>22.16</v>
      </c>
      <c r="E277" s="20">
        <v>495</v>
      </c>
      <c r="F277" s="42">
        <v>44162</v>
      </c>
      <c r="G277" s="6">
        <f ca="1">IFERROR(__xludf.DUMMYFUNCTION("IF(E277="""", """", IF(OR(B277=""PURCHASE"", B277=""SWITCH PURCHASE""), E277*-1, E277))
"),495)</f>
        <v>495</v>
      </c>
      <c r="L277" s="7"/>
      <c r="N277" s="30"/>
      <c r="S277" s="30"/>
      <c r="W277" s="6"/>
    </row>
    <row r="278" spans="1:29" ht="14.5">
      <c r="A278" s="20" t="s">
        <v>70</v>
      </c>
      <c r="B278" s="29" t="s">
        <v>40</v>
      </c>
      <c r="C278" s="20">
        <v>1.1000000000000001</v>
      </c>
      <c r="D278" s="20">
        <v>91.63</v>
      </c>
      <c r="E278" s="20">
        <v>101</v>
      </c>
      <c r="F278" s="42">
        <v>44152</v>
      </c>
      <c r="G278" s="6">
        <f ca="1">IFERROR(__xludf.DUMMYFUNCTION("IF(E278="""", """", IF(OR(B278=""PURCHASE"", B278=""SWITCH PURCHASE""), E278*-1, E278))
"),101)</f>
        <v>101</v>
      </c>
      <c r="I278" s="58"/>
      <c r="L278" s="7"/>
      <c r="N278" s="30"/>
      <c r="S278" s="30"/>
      <c r="W278" s="6"/>
    </row>
    <row r="279" spans="1:29" ht="14.5">
      <c r="A279" s="20" t="s">
        <v>70</v>
      </c>
      <c r="B279" s="29" t="s">
        <v>37</v>
      </c>
      <c r="C279" s="20">
        <v>1.1000000000000001</v>
      </c>
      <c r="D279" s="20">
        <v>90.46</v>
      </c>
      <c r="E279" s="20">
        <v>100</v>
      </c>
      <c r="F279" s="42">
        <v>44126</v>
      </c>
      <c r="G279" s="6">
        <f ca="1">IFERROR(__xludf.DUMMYFUNCTION("IF(E279="""", """", IF(OR(B279=""PURCHASE"", B279=""SWITCH PURCHASE""), E279*-1, E279))
"),-100)</f>
        <v>-100</v>
      </c>
      <c r="I279" s="58"/>
      <c r="L279" s="7"/>
      <c r="N279" s="30"/>
      <c r="S279" s="30"/>
      <c r="W279" s="6"/>
    </row>
    <row r="280" spans="1:29" ht="14.5">
      <c r="A280" s="20" t="s">
        <v>69</v>
      </c>
      <c r="B280" s="29" t="s">
        <v>37</v>
      </c>
      <c r="C280" s="20">
        <v>22.38</v>
      </c>
      <c r="D280" s="20">
        <v>22.34</v>
      </c>
      <c r="E280" s="20">
        <v>499</v>
      </c>
      <c r="F280" s="42">
        <v>44126</v>
      </c>
      <c r="G280" s="6">
        <f ca="1">IFERROR(__xludf.DUMMYFUNCTION("IF(E280="""", """", IF(OR(B280=""PURCHASE"", B280=""SWITCH PURCHASE""), E280*-1, E280))
"),-499)</f>
        <v>-499</v>
      </c>
      <c r="I280" s="22"/>
      <c r="L280" s="7"/>
      <c r="N280" s="30"/>
      <c r="S280" s="30"/>
      <c r="W280" s="6"/>
    </row>
    <row r="281" spans="1:29" ht="14.5">
      <c r="A281" s="20" t="s">
        <v>61</v>
      </c>
      <c r="B281" s="29" t="s">
        <v>37</v>
      </c>
      <c r="C281" s="20">
        <v>10.67</v>
      </c>
      <c r="D281" s="20">
        <v>46.84</v>
      </c>
      <c r="E281" s="20">
        <v>499</v>
      </c>
      <c r="F281" s="42">
        <v>44126</v>
      </c>
      <c r="G281" s="6">
        <f ca="1">IFERROR(__xludf.DUMMYFUNCTION("IF(E281="""", """", IF(OR(B281=""PURCHASE"", B281=""SWITCH PURCHASE""), E281*-1, E281))
"),-499)</f>
        <v>-499</v>
      </c>
      <c r="I281" s="22"/>
      <c r="L281" s="7"/>
      <c r="N281" s="30"/>
      <c r="S281" s="30"/>
    </row>
    <row r="282" spans="1:29" ht="14.5">
      <c r="A282" s="59" t="s">
        <v>11</v>
      </c>
      <c r="B282" s="38"/>
      <c r="F282" s="60">
        <f ca="1">TODAY()</f>
        <v>45862</v>
      </c>
      <c r="G282" s="61">
        <f ca="1">K305</f>
        <v>60968.395880000004</v>
      </c>
      <c r="H282" s="6">
        <f>SUMIFS(E14:E281, B14:B281, "PURCHASE") + SUMIFS(E14:E281, B14:B281, "SWITCH PURCHASE") - SUMIFS(E14:E281, B14:B281, "REDEEM") - SUMIFS(E14:E281, B14:B281, "SWITCH REDEEM")</f>
        <v>36209</v>
      </c>
      <c r="I282" s="59" t="s">
        <v>71</v>
      </c>
      <c r="J282" s="10"/>
      <c r="L282" s="7"/>
      <c r="N282" s="30"/>
      <c r="S282" s="30"/>
      <c r="V282" s="62"/>
      <c r="W282" s="62"/>
      <c r="X282" s="62"/>
      <c r="Y282" s="62"/>
      <c r="Z282" s="62"/>
      <c r="AA282" s="62"/>
      <c r="AB282" s="62"/>
      <c r="AC282" s="62"/>
    </row>
    <row r="283" spans="1:29" ht="12.5">
      <c r="B283" s="38"/>
      <c r="L283" s="7"/>
      <c r="N283" s="30"/>
      <c r="S283" s="30"/>
      <c r="T283" s="62"/>
      <c r="V283" s="62"/>
      <c r="W283" s="62"/>
      <c r="X283" s="62"/>
      <c r="Y283" s="62"/>
      <c r="Z283" s="62"/>
      <c r="AA283" s="62"/>
      <c r="AB283" s="62"/>
      <c r="AC283" s="62"/>
    </row>
    <row r="284" spans="1:29" ht="40.5" customHeight="1">
      <c r="A284" s="30"/>
      <c r="B284" s="39"/>
      <c r="C284" s="30"/>
      <c r="D284" s="30"/>
      <c r="E284" s="30"/>
      <c r="F284" s="30"/>
      <c r="G284" s="30"/>
      <c r="H284" s="30"/>
      <c r="I284" s="30"/>
      <c r="J284" s="30"/>
      <c r="K284" s="30"/>
      <c r="L284" s="63"/>
      <c r="M284" s="30"/>
      <c r="N284" s="30"/>
      <c r="O284" s="30"/>
      <c r="P284" s="30"/>
      <c r="Q284" s="30"/>
      <c r="R284" s="30"/>
      <c r="S284" s="30"/>
      <c r="T284" s="62"/>
      <c r="V284" s="62"/>
      <c r="W284" s="64"/>
      <c r="X284" s="62"/>
      <c r="Y284" s="62"/>
      <c r="Z284" s="62"/>
      <c r="AA284" s="62"/>
      <c r="AB284" s="62"/>
      <c r="AC284" s="62"/>
    </row>
    <row r="285" spans="1:29" ht="12.5">
      <c r="B285" s="38"/>
      <c r="L285" s="7"/>
      <c r="N285" s="30"/>
      <c r="S285" s="30"/>
      <c r="T285" s="62"/>
      <c r="V285" s="62"/>
      <c r="W285" s="62"/>
      <c r="X285" s="62"/>
      <c r="Y285" s="62"/>
      <c r="Z285" s="62"/>
      <c r="AA285" s="62"/>
      <c r="AB285" s="62"/>
      <c r="AC285" s="62"/>
    </row>
    <row r="286" spans="1:29" ht="12.5">
      <c r="B286" s="38"/>
      <c r="L286" s="7"/>
      <c r="N286" s="30"/>
      <c r="S286" s="30"/>
      <c r="W286" s="6"/>
    </row>
    <row r="287" spans="1:29" ht="19.5">
      <c r="A287" s="65" t="s">
        <v>72</v>
      </c>
      <c r="B287" s="66"/>
      <c r="C287" s="67"/>
      <c r="D287" s="67"/>
      <c r="E287" s="67"/>
      <c r="F287" s="67"/>
      <c r="G287" s="67"/>
      <c r="H287" s="67"/>
      <c r="I287" s="67"/>
      <c r="J287" s="67"/>
      <c r="K287" s="67"/>
      <c r="L287" s="68"/>
      <c r="M287" s="67"/>
      <c r="N287" s="69"/>
      <c r="S287" s="30"/>
      <c r="W287" s="6"/>
    </row>
    <row r="288" spans="1:29" ht="12.5">
      <c r="A288" s="67"/>
      <c r="B288" s="66"/>
      <c r="C288" s="67"/>
      <c r="D288" s="67"/>
      <c r="E288" s="67"/>
      <c r="F288" s="67"/>
      <c r="G288" s="67"/>
      <c r="H288" s="67"/>
      <c r="I288" s="67"/>
      <c r="J288" s="67"/>
      <c r="K288" s="67"/>
      <c r="L288" s="68"/>
      <c r="M288" s="67"/>
      <c r="N288" s="69"/>
      <c r="S288" s="30"/>
    </row>
    <row r="289" spans="1:19" ht="12.5">
      <c r="A289" s="67"/>
      <c r="B289" s="66"/>
      <c r="C289" s="67"/>
      <c r="D289" s="67"/>
      <c r="E289" s="67"/>
      <c r="F289" s="67"/>
      <c r="G289" s="67"/>
      <c r="H289" s="67"/>
      <c r="I289" s="67"/>
      <c r="J289" s="67"/>
      <c r="K289" s="67"/>
      <c r="L289" s="68"/>
      <c r="M289" s="67"/>
      <c r="N289" s="69"/>
      <c r="S289" s="30"/>
    </row>
    <row r="290" spans="1:19" ht="14.5">
      <c r="A290" s="70" t="s">
        <v>73</v>
      </c>
      <c r="B290" s="70" t="s">
        <v>74</v>
      </c>
      <c r="C290" s="70" t="s">
        <v>75</v>
      </c>
      <c r="D290" s="70" t="s">
        <v>21</v>
      </c>
      <c r="G290" s="67"/>
      <c r="H290" s="67"/>
      <c r="I290" s="67"/>
      <c r="J290" s="67"/>
      <c r="K290" s="67"/>
      <c r="L290" s="68"/>
      <c r="M290" s="67"/>
      <c r="N290" s="69"/>
      <c r="S290" s="30"/>
    </row>
    <row r="291" spans="1:19" ht="14.5">
      <c r="A291" s="6">
        <f>SUMIFS(E14:E281, B14:B281, "PURCHASE") - SUM(E269, E81, E67, E66, E65, E59, E58, E48, E47)</f>
        <v>98528</v>
      </c>
      <c r="B291" s="6">
        <f>H282</f>
        <v>36209</v>
      </c>
      <c r="C291" s="48">
        <f ca="1">K305</f>
        <v>60968.395880000004</v>
      </c>
      <c r="D291" s="71">
        <f ca="1">XIRR(G14:G282,F14:F282)</f>
        <v>0.13764494061470031</v>
      </c>
      <c r="E291" s="11"/>
      <c r="G291" s="67"/>
      <c r="H291" s="67"/>
      <c r="I291" s="67"/>
      <c r="J291" s="67"/>
      <c r="K291" s="67"/>
      <c r="L291" s="68"/>
      <c r="M291" s="67"/>
      <c r="N291" s="69"/>
      <c r="S291" s="30"/>
    </row>
    <row r="292" spans="1:19" ht="12.5">
      <c r="C292" s="67"/>
      <c r="D292" s="67"/>
      <c r="E292" s="67"/>
      <c r="G292" s="67"/>
      <c r="H292" s="67"/>
      <c r="I292" s="67"/>
      <c r="J292" s="67"/>
      <c r="K292" s="67"/>
      <c r="L292" s="68"/>
      <c r="M292" s="67"/>
      <c r="N292" s="69"/>
      <c r="S292" s="30"/>
    </row>
    <row r="293" spans="1:19" ht="12.5">
      <c r="C293" s="67"/>
      <c r="D293" s="67"/>
      <c r="E293" s="67"/>
      <c r="F293" s="67"/>
      <c r="G293" s="67"/>
      <c r="H293" s="67"/>
      <c r="I293" s="67"/>
      <c r="J293" s="67"/>
      <c r="K293" s="67"/>
      <c r="L293" s="68"/>
      <c r="M293" s="67"/>
      <c r="N293" s="69"/>
      <c r="S293" s="30"/>
    </row>
    <row r="294" spans="1:19" ht="12.5">
      <c r="C294" s="67"/>
      <c r="D294" s="67"/>
      <c r="E294" s="67"/>
      <c r="F294" s="67"/>
      <c r="G294" s="67"/>
      <c r="H294" s="67"/>
      <c r="I294" s="67"/>
      <c r="J294" s="67"/>
      <c r="K294" s="67"/>
      <c r="L294" s="68"/>
      <c r="M294" s="67"/>
      <c r="N294" s="69"/>
      <c r="S294" s="30"/>
    </row>
    <row r="295" spans="1:19" ht="19.5">
      <c r="A295" s="65" t="s">
        <v>76</v>
      </c>
      <c r="B295" s="72">
        <f ca="1">TODAY()</f>
        <v>45862</v>
      </c>
      <c r="C295" s="65"/>
      <c r="D295" s="72"/>
      <c r="E295" s="67"/>
      <c r="F295" s="67"/>
      <c r="G295" s="67"/>
      <c r="H295" s="67"/>
      <c r="I295" s="67"/>
      <c r="J295" s="67"/>
      <c r="K295" s="67"/>
      <c r="L295" s="68"/>
      <c r="M295" s="67"/>
      <c r="N295" s="69"/>
      <c r="S295" s="30"/>
    </row>
    <row r="296" spans="1:19" ht="12.5">
      <c r="A296" s="67"/>
      <c r="B296" s="66"/>
      <c r="C296" s="67"/>
      <c r="D296" s="67"/>
      <c r="E296" s="67"/>
      <c r="F296" s="67"/>
      <c r="G296" s="67"/>
      <c r="H296" s="67"/>
      <c r="I296" s="67"/>
      <c r="J296" s="67"/>
      <c r="K296" s="67"/>
      <c r="L296" s="68"/>
      <c r="M296" s="67"/>
      <c r="N296" s="69"/>
      <c r="S296" s="30"/>
    </row>
    <row r="297" spans="1:19" ht="12.5">
      <c r="A297" s="67"/>
      <c r="B297" s="66"/>
      <c r="C297" s="67"/>
      <c r="D297" s="67"/>
      <c r="E297" s="67"/>
      <c r="F297" s="67"/>
      <c r="G297" s="67"/>
      <c r="H297" s="67"/>
      <c r="I297" s="67"/>
      <c r="J297" s="67"/>
      <c r="K297" s="67"/>
      <c r="L297" s="68"/>
      <c r="M297" s="67"/>
      <c r="N297" s="69"/>
      <c r="S297" s="30"/>
    </row>
    <row r="298" spans="1:19" ht="14.5">
      <c r="A298" s="73" t="s">
        <v>29</v>
      </c>
      <c r="B298" s="74" t="s">
        <v>77</v>
      </c>
      <c r="C298" s="70" t="s">
        <v>78</v>
      </c>
      <c r="D298" s="70" t="s">
        <v>79</v>
      </c>
      <c r="E298" s="70" t="s">
        <v>80</v>
      </c>
      <c r="F298" s="70" t="s">
        <v>81</v>
      </c>
      <c r="G298" s="70" t="s">
        <v>32</v>
      </c>
      <c r="H298" s="70" t="s">
        <v>82</v>
      </c>
      <c r="I298" s="70" t="s">
        <v>31</v>
      </c>
      <c r="J298" s="70" t="s">
        <v>6</v>
      </c>
      <c r="K298" s="70" t="s">
        <v>83</v>
      </c>
      <c r="L298" s="70" t="s">
        <v>21</v>
      </c>
      <c r="N298" s="69"/>
      <c r="S298" s="30"/>
    </row>
    <row r="299" spans="1:19" ht="12.5">
      <c r="A299" s="67"/>
      <c r="B299" s="66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N299" s="69"/>
      <c r="S299" s="30"/>
    </row>
    <row r="300" spans="1:19" ht="14.5">
      <c r="A300" s="20" t="s">
        <v>38</v>
      </c>
      <c r="B300" s="75" t="s">
        <v>84</v>
      </c>
      <c r="C300" s="20" t="s">
        <v>85</v>
      </c>
      <c r="D300" s="20" t="s">
        <v>86</v>
      </c>
      <c r="E300" s="20" t="s">
        <v>87</v>
      </c>
      <c r="F300" s="20">
        <v>477349321517</v>
      </c>
      <c r="G300" s="45">
        <f ca="1">IFERROR(__xludf.DUMMYFUNCTION("GOOGLEFINANCE(B300)"),25.25)</f>
        <v>25.25</v>
      </c>
      <c r="H300" s="76" t="s">
        <v>88</v>
      </c>
      <c r="I300" s="19">
        <v>1184.9469999999999</v>
      </c>
      <c r="J300" s="20">
        <v>28528.68</v>
      </c>
      <c r="K300" s="48">
        <f t="shared" ref="K300:K303" ca="1" si="0">G300*I300</f>
        <v>29919.911749999996</v>
      </c>
      <c r="L300" s="77">
        <f ca="1">'MF CAS'!G342</f>
        <v>0.11985686421394348</v>
      </c>
      <c r="N300" s="69"/>
      <c r="S300" s="30"/>
    </row>
    <row r="301" spans="1:19" ht="14.5">
      <c r="A301" s="20" t="s">
        <v>36</v>
      </c>
      <c r="B301" s="75" t="s">
        <v>89</v>
      </c>
      <c r="C301" s="20" t="s">
        <v>90</v>
      </c>
      <c r="D301" s="20" t="s">
        <v>86</v>
      </c>
      <c r="E301" s="20" t="s">
        <v>91</v>
      </c>
      <c r="F301" s="20">
        <v>577367428086</v>
      </c>
      <c r="G301" s="45">
        <f ca="1">IFERROR(__xludf.DUMMYFUNCTION("GOOGLEFINANCE(B301)"),21.52)</f>
        <v>21.52</v>
      </c>
      <c r="H301" s="76" t="s">
        <v>88</v>
      </c>
      <c r="I301" s="19">
        <v>1113.749</v>
      </c>
      <c r="J301" s="20">
        <v>26598.71</v>
      </c>
      <c r="K301" s="48">
        <f t="shared" ca="1" si="0"/>
        <v>23967.878479999999</v>
      </c>
      <c r="L301" s="77">
        <f ca="1">'MF CAS'!G363</f>
        <v>-0.11775469817221165</v>
      </c>
      <c r="N301" s="69"/>
      <c r="S301" s="30"/>
    </row>
    <row r="302" spans="1:19" ht="14.5">
      <c r="A302" s="76" t="s">
        <v>53</v>
      </c>
      <c r="B302" s="75" t="s">
        <v>92</v>
      </c>
      <c r="C302" s="76" t="s">
        <v>93</v>
      </c>
      <c r="D302" s="20" t="s">
        <v>86</v>
      </c>
      <c r="E302" s="20" t="s">
        <v>94</v>
      </c>
      <c r="F302" s="45">
        <v>91021123724</v>
      </c>
      <c r="G302" s="45">
        <f ca="1">IFERROR(__xludf.DUMMYFUNCTION("GOOGLEFINANCE(B302)"),41.95)</f>
        <v>41.95</v>
      </c>
      <c r="H302" s="76" t="s">
        <v>88</v>
      </c>
      <c r="I302" s="19">
        <v>144.83600000000001</v>
      </c>
      <c r="J302" s="20">
        <v>4999.78</v>
      </c>
      <c r="K302" s="48">
        <f t="shared" ca="1" si="0"/>
        <v>6075.8702000000012</v>
      </c>
      <c r="L302" s="77">
        <f ca="1">'MF CAS'!G260</f>
        <v>0.17147888541221615</v>
      </c>
      <c r="N302" s="69"/>
      <c r="S302" s="30"/>
    </row>
    <row r="303" spans="1:19" ht="14.5">
      <c r="A303" s="76" t="s">
        <v>39</v>
      </c>
      <c r="B303" s="75" t="s">
        <v>95</v>
      </c>
      <c r="C303" s="76" t="s">
        <v>96</v>
      </c>
      <c r="D303" s="76" t="s">
        <v>97</v>
      </c>
      <c r="E303" s="76" t="s">
        <v>98</v>
      </c>
      <c r="F303" s="45">
        <v>21255898</v>
      </c>
      <c r="G303" s="45">
        <f ca="1">IFERROR(__xludf.DUMMYFUNCTION("GOOGLEFINANCE(B303)"),33.35)</f>
        <v>33.35</v>
      </c>
      <c r="H303" s="76" t="s">
        <v>88</v>
      </c>
      <c r="I303" s="19">
        <v>30.126999999999999</v>
      </c>
      <c r="J303" s="20">
        <v>999.98</v>
      </c>
      <c r="K303" s="48">
        <f t="shared" ca="1" si="0"/>
        <v>1004.73545</v>
      </c>
      <c r="L303" s="77">
        <f ca="1">'MF CAS'!G90</f>
        <v>-0.36254491135478034</v>
      </c>
      <c r="N303" s="69"/>
      <c r="S303" s="30"/>
    </row>
    <row r="304" spans="1:19" ht="14.5">
      <c r="B304" s="75"/>
      <c r="C304" s="76"/>
      <c r="D304" s="76"/>
      <c r="E304" s="76"/>
      <c r="F304" s="45"/>
      <c r="G304" s="45"/>
      <c r="H304" s="76"/>
      <c r="I304" s="45"/>
      <c r="J304" s="45"/>
      <c r="K304" s="48"/>
      <c r="L304" s="77"/>
      <c r="N304" s="69"/>
      <c r="S304" s="30"/>
    </row>
    <row r="305" spans="1:28" ht="12.5">
      <c r="A305" s="59" t="s">
        <v>11</v>
      </c>
      <c r="J305" s="6">
        <f t="shared" ref="J305:K305" si="1">SUM(J300:J303)</f>
        <v>61127.15</v>
      </c>
      <c r="K305" s="10">
        <f t="shared" ca="1" si="1"/>
        <v>60968.395880000004</v>
      </c>
      <c r="N305" s="69"/>
      <c r="S305" s="30"/>
    </row>
    <row r="306" spans="1:28" ht="14.5">
      <c r="A306" s="20"/>
      <c r="C306" s="20"/>
      <c r="D306" s="20"/>
      <c r="E306" s="20"/>
      <c r="F306" s="20"/>
      <c r="H306" s="20"/>
      <c r="I306" s="19"/>
      <c r="J306" s="20"/>
      <c r="K306" s="20"/>
      <c r="L306" s="77"/>
      <c r="N306" s="69"/>
      <c r="S306" s="30"/>
    </row>
    <row r="307" spans="1:28" ht="14.5">
      <c r="A307" s="20"/>
      <c r="C307" s="20"/>
      <c r="D307" s="20"/>
      <c r="E307" s="20"/>
      <c r="F307" s="20"/>
      <c r="H307" s="20"/>
      <c r="I307" s="19"/>
      <c r="J307" s="20"/>
      <c r="K307" s="20"/>
      <c r="N307" s="69"/>
      <c r="S307" s="30"/>
    </row>
    <row r="308" spans="1:28" ht="14.5">
      <c r="A308" s="20"/>
      <c r="C308" s="20"/>
      <c r="D308" s="20"/>
      <c r="E308" s="20"/>
      <c r="F308" s="20"/>
      <c r="H308" s="20"/>
      <c r="I308" s="19"/>
      <c r="J308" s="20"/>
      <c r="K308" s="20"/>
      <c r="L308" s="11"/>
      <c r="N308" s="69"/>
      <c r="S308" s="30"/>
    </row>
    <row r="309" spans="1:28" ht="14.5">
      <c r="A309" s="20"/>
      <c r="C309" s="20"/>
      <c r="D309" s="20"/>
      <c r="E309" s="20"/>
      <c r="F309" s="20"/>
      <c r="H309" s="20"/>
      <c r="I309" s="19"/>
      <c r="J309" s="20"/>
      <c r="K309" s="20"/>
      <c r="L309" s="78"/>
      <c r="M309" s="67"/>
      <c r="N309" s="69"/>
      <c r="S309" s="30"/>
    </row>
    <row r="310" spans="1:28" ht="14.5">
      <c r="A310" s="79" t="s">
        <v>99</v>
      </c>
      <c r="B310" s="66"/>
      <c r="C310" s="67"/>
      <c r="D310" s="67"/>
      <c r="E310" s="67"/>
      <c r="F310" s="67"/>
      <c r="G310" s="67"/>
      <c r="H310" s="67"/>
      <c r="I310" s="19"/>
      <c r="J310" s="20"/>
      <c r="K310" s="67"/>
      <c r="L310" s="68"/>
      <c r="M310" s="67"/>
      <c r="N310" s="69"/>
      <c r="S310" s="30"/>
    </row>
    <row r="311" spans="1:28" ht="14.5">
      <c r="A311" s="67"/>
      <c r="B311" s="128" t="s">
        <v>100</v>
      </c>
      <c r="C311" s="126"/>
      <c r="D311" s="80" t="s">
        <v>101</v>
      </c>
      <c r="E311" s="80" t="s">
        <v>102</v>
      </c>
      <c r="H311" s="67"/>
      <c r="I311" s="19"/>
      <c r="J311" s="20"/>
      <c r="K311" s="20"/>
      <c r="L311" s="68"/>
      <c r="M311" s="67"/>
      <c r="N311" s="69"/>
      <c r="S311" s="30"/>
    </row>
    <row r="312" spans="1:28" ht="14.5">
      <c r="A312" s="6" t="s">
        <v>103</v>
      </c>
      <c r="B312" s="81">
        <f ca="1">C312/ ( $K$305 +'Stocks Transaction'!I45)</f>
        <v>0.63835714399981225</v>
      </c>
      <c r="C312" s="10">
        <f ca="1">SUM(K300:K301)</f>
        <v>53887.790229999999</v>
      </c>
      <c r="D312" s="82">
        <v>0.45</v>
      </c>
      <c r="E312" s="11">
        <f t="shared" ref="E312:E314" ca="1" si="2">B312-D312</f>
        <v>0.18835714399981224</v>
      </c>
      <c r="F312" s="6">
        <f ca="1">E312* ( $K$305 + 'Stocks Transaction'!I38 )</f>
        <v>13748.752235946862</v>
      </c>
      <c r="I312" s="19"/>
      <c r="J312" s="20"/>
      <c r="K312" s="20"/>
      <c r="L312" s="68"/>
      <c r="M312" s="67"/>
      <c r="N312" s="69"/>
      <c r="S312" s="30"/>
    </row>
    <row r="313" spans="1:28" ht="14.5">
      <c r="A313" s="6" t="s">
        <v>94</v>
      </c>
      <c r="B313" s="81">
        <f ca="1">C313/ ( $K$305 +'Stocks Transaction'!I45)</f>
        <v>0.34974071546705632</v>
      </c>
      <c r="C313" s="10">
        <f ca="1">K302 + 'Stocks Transaction'!I45</f>
        <v>29523.840199999999</v>
      </c>
      <c r="D313" s="82">
        <v>0.25</v>
      </c>
      <c r="E313" s="11">
        <f t="shared" ca="1" si="2"/>
        <v>9.9740715467056318E-2</v>
      </c>
      <c r="F313" s="6">
        <f ca="1">E313* ( $K$305 + 'Stocks Transaction'!I38 )</f>
        <v>7280.3736331550945</v>
      </c>
      <c r="I313" s="19"/>
      <c r="J313" s="20"/>
      <c r="K313" s="20"/>
      <c r="L313" s="68"/>
      <c r="M313" s="67"/>
      <c r="N313" s="69"/>
      <c r="S313" s="30"/>
    </row>
    <row r="314" spans="1:28" ht="14.5">
      <c r="A314" s="6" t="s">
        <v>97</v>
      </c>
      <c r="B314" s="81">
        <f ca="1">C314/ ( $K$305 +'Stocks Transaction'!I45)</f>
        <v>1.1902140533131418E-2</v>
      </c>
      <c r="C314" s="10">
        <f ca="1">K303</f>
        <v>1004.73545</v>
      </c>
      <c r="D314" s="82">
        <v>0.3</v>
      </c>
      <c r="E314" s="11">
        <f t="shared" ca="1" si="2"/>
        <v>-0.28809785946686856</v>
      </c>
      <c r="F314" s="6">
        <f ca="1">E314* ( $K$305 + 'Stocks Transaction'!I38 )</f>
        <v>-21029.125869101958</v>
      </c>
      <c r="I314" s="19"/>
      <c r="J314" s="20"/>
      <c r="K314" s="20"/>
      <c r="L314" s="68"/>
      <c r="M314" s="67"/>
      <c r="N314" s="69"/>
      <c r="S314" s="30"/>
    </row>
    <row r="315" spans="1:28" ht="12.5">
      <c r="B315" s="38"/>
      <c r="I315" s="67"/>
      <c r="J315" s="67"/>
      <c r="K315" s="67"/>
      <c r="L315" s="68"/>
      <c r="M315" s="67"/>
      <c r="N315" s="69"/>
      <c r="S315" s="30"/>
    </row>
    <row r="316" spans="1:28" ht="12.5">
      <c r="A316" s="30"/>
      <c r="B316" s="39"/>
      <c r="C316" s="30"/>
      <c r="D316" s="30"/>
      <c r="E316" s="30"/>
      <c r="F316" s="30"/>
      <c r="G316" s="30"/>
      <c r="H316" s="30"/>
      <c r="I316" s="69"/>
      <c r="J316" s="69"/>
      <c r="K316" s="69"/>
      <c r="L316" s="83"/>
      <c r="M316" s="69"/>
      <c r="N316" s="69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spans="1:28" ht="12.5">
      <c r="A317" s="30"/>
      <c r="B317" s="39"/>
      <c r="C317" s="30"/>
      <c r="D317" s="30"/>
      <c r="E317" s="30"/>
      <c r="F317" s="30"/>
      <c r="G317" s="30"/>
      <c r="H317" s="30"/>
      <c r="I317" s="69"/>
      <c r="J317" s="69"/>
      <c r="K317" s="69"/>
      <c r="L317" s="83"/>
      <c r="M317" s="69"/>
      <c r="N317" s="69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spans="1:28" ht="12.5">
      <c r="A318" s="30"/>
      <c r="B318" s="39"/>
      <c r="C318" s="30"/>
      <c r="D318" s="30"/>
      <c r="E318" s="30"/>
      <c r="F318" s="30"/>
      <c r="G318" s="30"/>
      <c r="H318" s="30"/>
      <c r="I318" s="69"/>
      <c r="J318" s="69"/>
      <c r="K318" s="69"/>
      <c r="L318" s="83"/>
      <c r="M318" s="69"/>
      <c r="N318" s="69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spans="1:28" ht="12.5">
      <c r="B319" s="38"/>
      <c r="I319" s="67"/>
      <c r="J319" s="67"/>
      <c r="K319" s="67"/>
      <c r="L319" s="68"/>
      <c r="M319" s="67"/>
      <c r="N319" s="69"/>
      <c r="S319" s="30"/>
    </row>
    <row r="320" spans="1:28" ht="13">
      <c r="A320" s="129" t="s">
        <v>104</v>
      </c>
      <c r="B320" s="126"/>
      <c r="C320" s="129" t="s">
        <v>105</v>
      </c>
      <c r="D320" s="126"/>
      <c r="E320" s="126"/>
      <c r="F320" s="126"/>
      <c r="G320" s="126"/>
      <c r="H320" s="126"/>
      <c r="K320" s="11"/>
      <c r="N320" s="30"/>
      <c r="S320" s="30"/>
    </row>
    <row r="321" spans="1:19" ht="14.5">
      <c r="G321" s="19"/>
      <c r="H321" s="20"/>
      <c r="I321" s="20"/>
      <c r="J321" s="19"/>
      <c r="K321" s="84"/>
      <c r="L321" s="68"/>
      <c r="M321" s="67"/>
      <c r="N321" s="69"/>
      <c r="S321" s="30"/>
    </row>
    <row r="322" spans="1:19" ht="14.5">
      <c r="G322" s="19"/>
      <c r="H322" s="20"/>
      <c r="I322" s="20"/>
      <c r="J322" s="19"/>
      <c r="K322" s="84"/>
      <c r="L322" s="7"/>
      <c r="N322" s="30"/>
      <c r="S322" s="30"/>
    </row>
    <row r="323" spans="1:19" ht="14.5">
      <c r="G323" s="19"/>
      <c r="H323" s="20"/>
      <c r="I323" s="20"/>
      <c r="J323" s="19"/>
      <c r="K323" s="84"/>
      <c r="L323" s="68"/>
      <c r="M323" s="67"/>
      <c r="N323" s="69"/>
      <c r="S323" s="30"/>
    </row>
    <row r="324" spans="1:19" ht="14.5">
      <c r="G324" s="19"/>
      <c r="H324" s="20"/>
      <c r="I324" s="20"/>
      <c r="J324" s="19"/>
      <c r="K324" s="84"/>
      <c r="L324" s="7"/>
      <c r="N324" s="30"/>
      <c r="S324" s="30"/>
    </row>
    <row r="325" spans="1:19" ht="12.5">
      <c r="L325" s="7"/>
      <c r="N325" s="30"/>
      <c r="S325" s="30"/>
    </row>
    <row r="326" spans="1:19" ht="12.5">
      <c r="L326" s="7"/>
      <c r="N326" s="30"/>
      <c r="S326" s="30"/>
    </row>
    <row r="327" spans="1:19" ht="12.5">
      <c r="L327" s="7"/>
      <c r="N327" s="30"/>
      <c r="S327" s="30"/>
    </row>
    <row r="328" spans="1:19" ht="14.5">
      <c r="A328" s="76"/>
      <c r="B328" s="76"/>
      <c r="C328" s="45"/>
      <c r="D328" s="45"/>
      <c r="E328" s="46"/>
      <c r="F328" s="47"/>
      <c r="L328" s="7"/>
      <c r="N328" s="30"/>
      <c r="S328" s="30"/>
    </row>
    <row r="329" spans="1:19" ht="14.5">
      <c r="A329" s="76"/>
      <c r="B329" s="76"/>
      <c r="C329" s="48"/>
      <c r="D329" s="45"/>
      <c r="E329" s="45"/>
      <c r="F329" s="47"/>
      <c r="L329" s="7"/>
      <c r="N329" s="30"/>
      <c r="S329" s="30"/>
    </row>
    <row r="330" spans="1:19" ht="14.5">
      <c r="A330" s="76"/>
      <c r="B330" s="76"/>
      <c r="C330" s="48"/>
      <c r="D330" s="45"/>
      <c r="E330" s="45"/>
      <c r="F330" s="47"/>
      <c r="L330" s="7"/>
      <c r="N330" s="30"/>
      <c r="S330" s="30"/>
    </row>
    <row r="331" spans="1:19" ht="14.5">
      <c r="A331" s="76"/>
      <c r="B331" s="76"/>
      <c r="C331" s="45"/>
      <c r="D331" s="45"/>
      <c r="E331" s="46"/>
      <c r="F331" s="47"/>
      <c r="L331" s="7"/>
      <c r="N331" s="30"/>
      <c r="S331" s="30"/>
    </row>
    <row r="332" spans="1:19" ht="14.5">
      <c r="A332" s="76"/>
      <c r="B332" s="76"/>
      <c r="C332" s="45"/>
      <c r="D332" s="45"/>
      <c r="E332" s="46"/>
      <c r="F332" s="47"/>
      <c r="L332" s="7"/>
      <c r="N332" s="30"/>
      <c r="S332" s="30"/>
    </row>
    <row r="333" spans="1:19" ht="14.5">
      <c r="A333" s="76"/>
      <c r="B333" s="76"/>
      <c r="C333" s="45"/>
      <c r="D333" s="45"/>
      <c r="E333" s="46"/>
      <c r="F333" s="47"/>
      <c r="L333" s="7"/>
      <c r="N333" s="30"/>
      <c r="S333" s="30"/>
    </row>
    <row r="334" spans="1:19" ht="14.5">
      <c r="A334" s="76"/>
      <c r="B334" s="76"/>
      <c r="C334" s="45"/>
      <c r="D334" s="45"/>
      <c r="E334" s="46"/>
      <c r="F334" s="47"/>
      <c r="L334" s="7"/>
      <c r="N334" s="30"/>
      <c r="S334" s="30"/>
    </row>
    <row r="335" spans="1:19" ht="14.5">
      <c r="A335" s="76"/>
      <c r="B335" s="76"/>
      <c r="C335" s="45"/>
      <c r="D335" s="45"/>
      <c r="E335" s="46"/>
      <c r="F335" s="47"/>
      <c r="L335" s="7"/>
      <c r="N335" s="30"/>
      <c r="S335" s="30"/>
    </row>
    <row r="336" spans="1:19" ht="14.5">
      <c r="A336" s="76"/>
      <c r="B336" s="76"/>
      <c r="C336" s="45"/>
      <c r="D336" s="45"/>
      <c r="E336" s="45"/>
      <c r="F336" s="47"/>
      <c r="L336" s="7"/>
      <c r="N336" s="30"/>
      <c r="S336" s="30"/>
    </row>
    <row r="337" spans="1:19" ht="12.5">
      <c r="L337" s="7"/>
      <c r="N337" s="30"/>
      <c r="S337" s="30"/>
    </row>
    <row r="338" spans="1:19" ht="14.5">
      <c r="A338" s="76"/>
      <c r="B338" s="76"/>
      <c r="C338" s="45"/>
      <c r="D338" s="45"/>
      <c r="E338" s="46"/>
      <c r="F338" s="85"/>
      <c r="L338" s="7"/>
      <c r="N338" s="30"/>
      <c r="S338" s="30"/>
    </row>
    <row r="339" spans="1:19" ht="12.5">
      <c r="B339" s="38"/>
      <c r="L339" s="7"/>
      <c r="N339" s="30"/>
      <c r="S339" s="30"/>
    </row>
    <row r="340" spans="1:19" ht="14.5">
      <c r="A340" s="76"/>
      <c r="B340" s="76"/>
      <c r="C340" s="45"/>
      <c r="D340" s="45"/>
      <c r="E340" s="45"/>
      <c r="F340" s="47"/>
      <c r="L340" s="7"/>
      <c r="N340" s="30"/>
      <c r="S340" s="30"/>
    </row>
    <row r="341" spans="1:19" ht="14.5">
      <c r="A341" s="76"/>
      <c r="B341" s="76"/>
      <c r="C341" s="45"/>
      <c r="D341" s="45"/>
      <c r="E341" s="45"/>
      <c r="F341" s="47"/>
      <c r="L341" s="7"/>
      <c r="N341" s="30"/>
      <c r="S341" s="30"/>
    </row>
    <row r="342" spans="1:19" ht="12.5">
      <c r="L342" s="7"/>
      <c r="N342" s="30"/>
      <c r="S342" s="30"/>
    </row>
    <row r="343" spans="1:19" ht="14.5">
      <c r="A343" s="76"/>
      <c r="B343" s="76"/>
      <c r="C343" s="48"/>
      <c r="D343" s="45"/>
      <c r="E343" s="46"/>
      <c r="F343" s="47"/>
      <c r="L343" s="7"/>
      <c r="N343" s="30"/>
      <c r="S343" s="30"/>
    </row>
    <row r="344" spans="1:19" ht="14.5">
      <c r="A344" s="76"/>
      <c r="B344" s="76"/>
      <c r="C344" s="48"/>
      <c r="D344" s="45"/>
      <c r="E344" s="45"/>
      <c r="F344" s="47"/>
      <c r="L344" s="7"/>
      <c r="N344" s="30"/>
      <c r="S344" s="30"/>
    </row>
    <row r="345" spans="1:19" ht="12.5">
      <c r="L345" s="7"/>
      <c r="N345" s="30"/>
      <c r="S345" s="30"/>
    </row>
    <row r="346" spans="1:19" ht="12.5">
      <c r="B346" s="6"/>
      <c r="C346" s="6"/>
      <c r="D346" s="6"/>
      <c r="L346" s="7"/>
      <c r="N346" s="30"/>
      <c r="S346" s="30"/>
    </row>
    <row r="347" spans="1:19" ht="12.5">
      <c r="B347" s="6"/>
      <c r="L347" s="7"/>
      <c r="N347" s="30"/>
      <c r="S347" s="30"/>
    </row>
    <row r="348" spans="1:19" ht="12.5">
      <c r="L348" s="7"/>
      <c r="N348" s="30"/>
      <c r="S348" s="30"/>
    </row>
    <row r="349" spans="1:19" ht="12.5">
      <c r="L349" s="7"/>
      <c r="N349" s="30"/>
      <c r="S349" s="30"/>
    </row>
    <row r="350" spans="1:19" ht="12.5">
      <c r="B350" s="38"/>
      <c r="L350" s="7"/>
      <c r="N350" s="30"/>
      <c r="S350" s="30"/>
    </row>
    <row r="351" spans="1:19" ht="12.5">
      <c r="B351" s="38"/>
      <c r="L351" s="7"/>
      <c r="N351" s="30"/>
      <c r="S351" s="30"/>
    </row>
    <row r="352" spans="1:19" ht="12.5">
      <c r="B352" s="38"/>
      <c r="L352" s="7"/>
      <c r="N352" s="30"/>
      <c r="S352" s="30"/>
    </row>
    <row r="353" spans="2:19" ht="12.5">
      <c r="B353" s="38"/>
      <c r="L353" s="7"/>
      <c r="N353" s="30"/>
      <c r="S353" s="30"/>
    </row>
    <row r="354" spans="2:19" ht="12.5">
      <c r="B354" s="38"/>
      <c r="L354" s="7"/>
      <c r="N354" s="30"/>
      <c r="S354" s="30"/>
    </row>
    <row r="355" spans="2:19" ht="12.5">
      <c r="B355" s="38"/>
      <c r="L355" s="7"/>
      <c r="N355" s="30"/>
      <c r="S355" s="30"/>
    </row>
    <row r="356" spans="2:19" ht="12.5">
      <c r="B356" s="38"/>
      <c r="L356" s="7"/>
      <c r="N356" s="30"/>
      <c r="S356" s="30"/>
    </row>
    <row r="357" spans="2:19" ht="12.5">
      <c r="B357" s="38"/>
      <c r="L357" s="7"/>
      <c r="N357" s="30"/>
      <c r="S357" s="30"/>
    </row>
    <row r="358" spans="2:19" ht="12.5">
      <c r="B358" s="38"/>
      <c r="L358" s="7"/>
      <c r="N358" s="30"/>
      <c r="S358" s="30"/>
    </row>
    <row r="359" spans="2:19" ht="12.5">
      <c r="B359" s="38"/>
      <c r="L359" s="7"/>
      <c r="N359" s="30"/>
      <c r="S359" s="30"/>
    </row>
    <row r="360" spans="2:19" ht="12.5">
      <c r="B360" s="38"/>
      <c r="L360" s="7"/>
      <c r="N360" s="30"/>
      <c r="S360" s="30"/>
    </row>
    <row r="361" spans="2:19" ht="12.5">
      <c r="B361" s="38"/>
      <c r="L361" s="7"/>
      <c r="N361" s="30"/>
      <c r="S361" s="30"/>
    </row>
    <row r="362" spans="2:19" ht="12.5">
      <c r="B362" s="38"/>
      <c r="L362" s="7"/>
      <c r="N362" s="30"/>
      <c r="S362" s="30"/>
    </row>
    <row r="363" spans="2:19" ht="12.5">
      <c r="B363" s="38"/>
      <c r="L363" s="7"/>
      <c r="N363" s="30"/>
      <c r="S363" s="30"/>
    </row>
    <row r="364" spans="2:19" ht="12.5">
      <c r="B364" s="38"/>
      <c r="L364" s="7"/>
      <c r="N364" s="30"/>
      <c r="S364" s="30"/>
    </row>
    <row r="365" spans="2:19" ht="12.5">
      <c r="B365" s="38"/>
      <c r="L365" s="7"/>
      <c r="N365" s="30"/>
      <c r="S365" s="30"/>
    </row>
    <row r="366" spans="2:19" ht="12.5">
      <c r="B366" s="38"/>
      <c r="L366" s="7"/>
      <c r="N366" s="30"/>
      <c r="S366" s="30"/>
    </row>
    <row r="367" spans="2:19" ht="12.5">
      <c r="B367" s="38"/>
      <c r="L367" s="7"/>
      <c r="N367" s="30"/>
      <c r="S367" s="30"/>
    </row>
    <row r="368" spans="2:19" ht="12.5">
      <c r="B368" s="38"/>
      <c r="L368" s="7"/>
      <c r="N368" s="30"/>
      <c r="S368" s="30"/>
    </row>
    <row r="369" spans="2:19" ht="12.5">
      <c r="B369" s="38"/>
      <c r="L369" s="7"/>
      <c r="N369" s="30"/>
      <c r="S369" s="30"/>
    </row>
    <row r="370" spans="2:19" ht="12.5">
      <c r="B370" s="38"/>
      <c r="L370" s="7"/>
      <c r="N370" s="30"/>
      <c r="S370" s="30"/>
    </row>
    <row r="371" spans="2:19" ht="12.5">
      <c r="B371" s="38"/>
      <c r="L371" s="7"/>
      <c r="N371" s="30"/>
      <c r="S371" s="30"/>
    </row>
    <row r="372" spans="2:19" ht="12.5">
      <c r="B372" s="38"/>
      <c r="L372" s="7"/>
      <c r="N372" s="30"/>
      <c r="S372" s="30"/>
    </row>
    <row r="373" spans="2:19" ht="12.5">
      <c r="B373" s="38"/>
      <c r="L373" s="7"/>
      <c r="N373" s="30"/>
      <c r="S373" s="30"/>
    </row>
    <row r="374" spans="2:19" ht="12.5">
      <c r="B374" s="38"/>
      <c r="L374" s="7"/>
      <c r="N374" s="30"/>
      <c r="S374" s="30"/>
    </row>
    <row r="375" spans="2:19" ht="12.5">
      <c r="B375" s="38"/>
      <c r="L375" s="7"/>
      <c r="N375" s="30"/>
      <c r="S375" s="30"/>
    </row>
    <row r="376" spans="2:19" ht="12.5">
      <c r="B376" s="38"/>
      <c r="L376" s="7"/>
      <c r="N376" s="30"/>
      <c r="S376" s="30"/>
    </row>
    <row r="377" spans="2:19" ht="12.5">
      <c r="B377" s="38"/>
      <c r="L377" s="7"/>
      <c r="N377" s="30"/>
      <c r="S377" s="30"/>
    </row>
    <row r="378" spans="2:19" ht="12.5">
      <c r="B378" s="38"/>
      <c r="L378" s="7"/>
      <c r="N378" s="30"/>
      <c r="S378" s="30"/>
    </row>
    <row r="379" spans="2:19" ht="12.5">
      <c r="B379" s="38"/>
      <c r="L379" s="7"/>
      <c r="N379" s="30"/>
      <c r="S379" s="30"/>
    </row>
    <row r="380" spans="2:19" ht="12.5">
      <c r="B380" s="38"/>
      <c r="L380" s="7"/>
      <c r="N380" s="30"/>
      <c r="S380" s="30"/>
    </row>
    <row r="381" spans="2:19" ht="12.5">
      <c r="B381" s="38"/>
      <c r="L381" s="7"/>
      <c r="N381" s="30"/>
      <c r="S381" s="30"/>
    </row>
    <row r="382" spans="2:19" ht="12.5">
      <c r="B382" s="38"/>
      <c r="L382" s="7"/>
      <c r="N382" s="30"/>
      <c r="S382" s="30"/>
    </row>
    <row r="383" spans="2:19" ht="12.5">
      <c r="B383" s="38"/>
      <c r="L383" s="7"/>
      <c r="N383" s="30"/>
      <c r="S383" s="30"/>
    </row>
    <row r="384" spans="2:19" ht="12.5">
      <c r="B384" s="38"/>
      <c r="L384" s="7"/>
      <c r="N384" s="30"/>
      <c r="S384" s="30"/>
    </row>
    <row r="385" spans="2:19" ht="12.5">
      <c r="B385" s="38"/>
      <c r="L385" s="7"/>
      <c r="N385" s="30"/>
      <c r="S385" s="30"/>
    </row>
    <row r="386" spans="2:19" ht="12.5">
      <c r="B386" s="38"/>
      <c r="L386" s="7"/>
      <c r="N386" s="30"/>
      <c r="S386" s="30"/>
    </row>
    <row r="387" spans="2:19" ht="12.5">
      <c r="B387" s="38"/>
      <c r="L387" s="7"/>
      <c r="N387" s="30"/>
      <c r="S387" s="30"/>
    </row>
    <row r="388" spans="2:19" ht="12.5">
      <c r="B388" s="38"/>
      <c r="L388" s="7"/>
      <c r="N388" s="30"/>
      <c r="S388" s="30"/>
    </row>
    <row r="389" spans="2:19" ht="12.5">
      <c r="B389" s="38"/>
      <c r="L389" s="7"/>
      <c r="N389" s="30"/>
      <c r="S389" s="30"/>
    </row>
    <row r="390" spans="2:19" ht="12.5">
      <c r="B390" s="38"/>
      <c r="L390" s="7"/>
      <c r="N390" s="30"/>
      <c r="S390" s="30"/>
    </row>
    <row r="391" spans="2:19" ht="12.5">
      <c r="B391" s="38"/>
      <c r="L391" s="7"/>
      <c r="N391" s="30"/>
      <c r="S391" s="30"/>
    </row>
    <row r="392" spans="2:19" ht="12.5">
      <c r="B392" s="38"/>
      <c r="L392" s="7"/>
      <c r="N392" s="30"/>
      <c r="S392" s="30"/>
    </row>
    <row r="393" spans="2:19" ht="12.5">
      <c r="B393" s="38"/>
      <c r="L393" s="7"/>
      <c r="N393" s="30"/>
      <c r="S393" s="30"/>
    </row>
    <row r="394" spans="2:19" ht="12.5">
      <c r="B394" s="38"/>
      <c r="L394" s="7"/>
      <c r="N394" s="30"/>
      <c r="S394" s="30"/>
    </row>
    <row r="395" spans="2:19" ht="12.5">
      <c r="B395" s="38"/>
      <c r="L395" s="7"/>
      <c r="N395" s="30"/>
      <c r="S395" s="30"/>
    </row>
    <row r="396" spans="2:19" ht="12.5">
      <c r="B396" s="38"/>
      <c r="L396" s="7"/>
      <c r="N396" s="30"/>
      <c r="S396" s="30"/>
    </row>
    <row r="397" spans="2:19" ht="12.5">
      <c r="B397" s="38"/>
      <c r="L397" s="7"/>
      <c r="N397" s="30"/>
      <c r="S397" s="30"/>
    </row>
    <row r="398" spans="2:19" ht="12.5">
      <c r="B398" s="38"/>
      <c r="L398" s="7"/>
      <c r="N398" s="30"/>
      <c r="S398" s="30"/>
    </row>
    <row r="399" spans="2:19" ht="12.5">
      <c r="B399" s="38"/>
      <c r="L399" s="7"/>
      <c r="N399" s="30"/>
      <c r="S399" s="30"/>
    </row>
    <row r="400" spans="2:19" ht="12.5">
      <c r="B400" s="38"/>
      <c r="L400" s="7"/>
      <c r="N400" s="30"/>
      <c r="S400" s="30"/>
    </row>
    <row r="401" spans="2:19" ht="12.5">
      <c r="B401" s="38"/>
      <c r="L401" s="7"/>
      <c r="N401" s="30"/>
      <c r="S401" s="30"/>
    </row>
    <row r="402" spans="2:19" ht="12.5">
      <c r="B402" s="38"/>
      <c r="L402" s="7"/>
      <c r="N402" s="30"/>
      <c r="S402" s="30"/>
    </row>
    <row r="403" spans="2:19" ht="12.5">
      <c r="B403" s="38"/>
      <c r="L403" s="7"/>
      <c r="N403" s="30"/>
      <c r="S403" s="30"/>
    </row>
    <row r="404" spans="2:19" ht="12.5">
      <c r="B404" s="38"/>
      <c r="L404" s="7"/>
      <c r="N404" s="30"/>
      <c r="S404" s="30"/>
    </row>
    <row r="405" spans="2:19" ht="12.5">
      <c r="B405" s="38"/>
      <c r="L405" s="7"/>
      <c r="N405" s="30"/>
      <c r="S405" s="30"/>
    </row>
    <row r="406" spans="2:19" ht="12.5">
      <c r="B406" s="38"/>
      <c r="L406" s="7"/>
      <c r="N406" s="30"/>
      <c r="S406" s="30"/>
    </row>
    <row r="407" spans="2:19" ht="12.5">
      <c r="B407" s="38"/>
      <c r="L407" s="7"/>
      <c r="N407" s="30"/>
      <c r="S407" s="30"/>
    </row>
    <row r="408" spans="2:19" ht="12.5">
      <c r="B408" s="38"/>
      <c r="L408" s="7"/>
      <c r="N408" s="30"/>
      <c r="S408" s="30"/>
    </row>
    <row r="409" spans="2:19" ht="12.5">
      <c r="B409" s="38"/>
      <c r="L409" s="7"/>
      <c r="N409" s="30"/>
      <c r="S409" s="30"/>
    </row>
    <row r="410" spans="2:19" ht="12.5">
      <c r="B410" s="38"/>
      <c r="L410" s="7"/>
      <c r="N410" s="30"/>
      <c r="S410" s="30"/>
    </row>
    <row r="411" spans="2:19" ht="12.5">
      <c r="B411" s="38"/>
      <c r="L411" s="7"/>
      <c r="N411" s="30"/>
      <c r="S411" s="30"/>
    </row>
    <row r="412" spans="2:19" ht="12.5">
      <c r="B412" s="38"/>
      <c r="L412" s="7"/>
      <c r="N412" s="30"/>
      <c r="S412" s="30"/>
    </row>
    <row r="413" spans="2:19" ht="12.5">
      <c r="B413" s="38"/>
      <c r="L413" s="7"/>
      <c r="N413" s="30"/>
      <c r="S413" s="30"/>
    </row>
    <row r="414" spans="2:19" ht="12.5">
      <c r="B414" s="38"/>
      <c r="L414" s="7"/>
      <c r="N414" s="30"/>
      <c r="S414" s="30"/>
    </row>
    <row r="415" spans="2:19" ht="12.5">
      <c r="B415" s="38"/>
      <c r="L415" s="7"/>
      <c r="N415" s="30"/>
      <c r="S415" s="30"/>
    </row>
    <row r="416" spans="2:19" ht="12.5">
      <c r="B416" s="38"/>
      <c r="L416" s="7"/>
      <c r="N416" s="30"/>
      <c r="S416" s="30"/>
    </row>
    <row r="417" spans="2:19" ht="12.5">
      <c r="B417" s="38"/>
      <c r="L417" s="7"/>
      <c r="N417" s="30"/>
      <c r="S417" s="30"/>
    </row>
    <row r="418" spans="2:19" ht="12.5">
      <c r="B418" s="38"/>
      <c r="L418" s="7"/>
      <c r="N418" s="30"/>
      <c r="S418" s="30"/>
    </row>
    <row r="419" spans="2:19" ht="12.5">
      <c r="B419" s="38"/>
      <c r="L419" s="7"/>
      <c r="N419" s="30"/>
      <c r="S419" s="30"/>
    </row>
    <row r="420" spans="2:19" ht="12.5">
      <c r="B420" s="38"/>
      <c r="L420" s="7"/>
      <c r="N420" s="30"/>
      <c r="S420" s="30"/>
    </row>
    <row r="421" spans="2:19" ht="12.5">
      <c r="B421" s="38"/>
      <c r="L421" s="7"/>
      <c r="N421" s="30"/>
      <c r="S421" s="30"/>
    </row>
    <row r="422" spans="2:19" ht="12.5">
      <c r="B422" s="38"/>
      <c r="L422" s="7"/>
      <c r="N422" s="30"/>
      <c r="S422" s="30"/>
    </row>
    <row r="423" spans="2:19" ht="12.5">
      <c r="B423" s="38"/>
      <c r="L423" s="7"/>
      <c r="N423" s="30"/>
      <c r="S423" s="30"/>
    </row>
    <row r="424" spans="2:19" ht="12.5">
      <c r="B424" s="38"/>
      <c r="L424" s="7"/>
      <c r="N424" s="30"/>
      <c r="S424" s="30"/>
    </row>
    <row r="425" spans="2:19" ht="12.5">
      <c r="B425" s="38"/>
      <c r="L425" s="7"/>
      <c r="N425" s="30"/>
      <c r="S425" s="30"/>
    </row>
    <row r="426" spans="2:19" ht="12.5">
      <c r="B426" s="38"/>
      <c r="L426" s="7"/>
      <c r="N426" s="30"/>
      <c r="S426" s="30"/>
    </row>
    <row r="427" spans="2:19" ht="12.5">
      <c r="B427" s="38"/>
      <c r="L427" s="7"/>
      <c r="N427" s="30"/>
      <c r="S427" s="30"/>
    </row>
    <row r="428" spans="2:19" ht="12.5">
      <c r="B428" s="38"/>
      <c r="L428" s="7"/>
      <c r="N428" s="30"/>
      <c r="S428" s="30"/>
    </row>
    <row r="429" spans="2:19" ht="12.5">
      <c r="B429" s="38"/>
      <c r="L429" s="7"/>
      <c r="N429" s="30"/>
      <c r="S429" s="30"/>
    </row>
    <row r="430" spans="2:19" ht="12.5">
      <c r="B430" s="38"/>
      <c r="L430" s="7"/>
      <c r="N430" s="30"/>
      <c r="S430" s="30"/>
    </row>
    <row r="431" spans="2:19" ht="12.5">
      <c r="B431" s="38"/>
      <c r="L431" s="7"/>
      <c r="N431" s="30"/>
      <c r="S431" s="30"/>
    </row>
    <row r="432" spans="2:19" ht="12.5">
      <c r="B432" s="38"/>
      <c r="L432" s="7"/>
      <c r="N432" s="30"/>
      <c r="S432" s="30"/>
    </row>
    <row r="433" spans="2:19" ht="12.5">
      <c r="B433" s="38"/>
      <c r="L433" s="7"/>
      <c r="N433" s="30"/>
      <c r="S433" s="30"/>
    </row>
    <row r="434" spans="2:19" ht="12.5">
      <c r="B434" s="38"/>
      <c r="L434" s="7"/>
      <c r="N434" s="30"/>
      <c r="S434" s="30"/>
    </row>
    <row r="435" spans="2:19" ht="12.5">
      <c r="B435" s="38"/>
      <c r="L435" s="7"/>
      <c r="N435" s="30"/>
      <c r="S435" s="30"/>
    </row>
    <row r="436" spans="2:19" ht="12.5">
      <c r="B436" s="38"/>
      <c r="L436" s="7"/>
      <c r="N436" s="30"/>
      <c r="S436" s="30"/>
    </row>
    <row r="437" spans="2:19" ht="12.5">
      <c r="B437" s="38"/>
      <c r="L437" s="7"/>
      <c r="N437" s="30"/>
      <c r="S437" s="30"/>
    </row>
    <row r="438" spans="2:19" ht="12.5">
      <c r="B438" s="38"/>
      <c r="L438" s="7"/>
      <c r="N438" s="30"/>
      <c r="S438" s="30"/>
    </row>
    <row r="439" spans="2:19" ht="12.5">
      <c r="B439" s="38"/>
      <c r="L439" s="7"/>
      <c r="N439" s="30"/>
      <c r="S439" s="30"/>
    </row>
    <row r="440" spans="2:19" ht="12.5">
      <c r="B440" s="38"/>
      <c r="L440" s="7"/>
      <c r="N440" s="30"/>
      <c r="S440" s="30"/>
    </row>
    <row r="441" spans="2:19" ht="12.5">
      <c r="B441" s="38"/>
      <c r="L441" s="7"/>
      <c r="N441" s="30"/>
      <c r="S441" s="30"/>
    </row>
    <row r="442" spans="2:19" ht="12.5">
      <c r="B442" s="38"/>
      <c r="L442" s="7"/>
      <c r="N442" s="30"/>
      <c r="S442" s="30"/>
    </row>
    <row r="443" spans="2:19" ht="12.5">
      <c r="B443" s="38"/>
      <c r="L443" s="7"/>
      <c r="N443" s="30"/>
      <c r="S443" s="30"/>
    </row>
    <row r="444" spans="2:19" ht="12.5">
      <c r="B444" s="38"/>
      <c r="L444" s="7"/>
      <c r="N444" s="30"/>
      <c r="S444" s="30"/>
    </row>
    <row r="445" spans="2:19" ht="12.5">
      <c r="B445" s="38"/>
      <c r="L445" s="7"/>
      <c r="N445" s="30"/>
      <c r="S445" s="30"/>
    </row>
    <row r="446" spans="2:19" ht="12.5">
      <c r="B446" s="38"/>
      <c r="L446" s="7"/>
      <c r="N446" s="30"/>
      <c r="S446" s="30"/>
    </row>
    <row r="447" spans="2:19" ht="12.5">
      <c r="B447" s="38"/>
      <c r="L447" s="7"/>
      <c r="N447" s="30"/>
      <c r="S447" s="30"/>
    </row>
    <row r="448" spans="2:19" ht="12.5">
      <c r="B448" s="38"/>
      <c r="L448" s="7"/>
      <c r="N448" s="30"/>
      <c r="S448" s="30"/>
    </row>
    <row r="449" spans="2:19" ht="12.5">
      <c r="B449" s="38"/>
      <c r="L449" s="7"/>
      <c r="N449" s="30"/>
      <c r="S449" s="30"/>
    </row>
    <row r="450" spans="2:19" ht="12.5">
      <c r="B450" s="38"/>
      <c r="L450" s="7"/>
      <c r="N450" s="30"/>
      <c r="S450" s="30"/>
    </row>
    <row r="451" spans="2:19" ht="12.5">
      <c r="B451" s="38"/>
      <c r="L451" s="7"/>
      <c r="N451" s="30"/>
      <c r="S451" s="30"/>
    </row>
    <row r="452" spans="2:19" ht="12.5">
      <c r="B452" s="38"/>
      <c r="L452" s="7"/>
      <c r="N452" s="30"/>
      <c r="S452" s="30"/>
    </row>
    <row r="453" spans="2:19" ht="12.5">
      <c r="B453" s="38"/>
      <c r="L453" s="7"/>
      <c r="N453" s="30"/>
      <c r="S453" s="30"/>
    </row>
    <row r="454" spans="2:19" ht="12.5">
      <c r="B454" s="38"/>
      <c r="L454" s="7"/>
      <c r="N454" s="30"/>
      <c r="S454" s="30"/>
    </row>
    <row r="455" spans="2:19" ht="12.5">
      <c r="B455" s="38"/>
      <c r="L455" s="7"/>
      <c r="N455" s="30"/>
      <c r="S455" s="30"/>
    </row>
    <row r="456" spans="2:19" ht="12.5">
      <c r="B456" s="38"/>
      <c r="L456" s="7"/>
      <c r="N456" s="30"/>
      <c r="S456" s="30"/>
    </row>
    <row r="457" spans="2:19" ht="12.5">
      <c r="B457" s="38"/>
      <c r="L457" s="7"/>
      <c r="N457" s="30"/>
      <c r="S457" s="30"/>
    </row>
    <row r="458" spans="2:19" ht="12.5">
      <c r="B458" s="38"/>
      <c r="L458" s="7"/>
      <c r="N458" s="30"/>
      <c r="S458" s="30"/>
    </row>
    <row r="459" spans="2:19" ht="12.5">
      <c r="B459" s="38"/>
      <c r="L459" s="7"/>
      <c r="N459" s="30"/>
      <c r="S459" s="30"/>
    </row>
    <row r="460" spans="2:19" ht="12.5">
      <c r="B460" s="38"/>
      <c r="L460" s="7"/>
      <c r="N460" s="30"/>
      <c r="S460" s="30"/>
    </row>
    <row r="461" spans="2:19" ht="12.5">
      <c r="B461" s="38"/>
      <c r="L461" s="7"/>
      <c r="N461" s="30"/>
      <c r="S461" s="30"/>
    </row>
    <row r="462" spans="2:19" ht="12.5">
      <c r="B462" s="38"/>
      <c r="L462" s="7"/>
      <c r="N462" s="30"/>
      <c r="S462" s="30"/>
    </row>
    <row r="463" spans="2:19" ht="12.5">
      <c r="B463" s="38"/>
      <c r="L463" s="7"/>
      <c r="N463" s="30"/>
      <c r="S463" s="30"/>
    </row>
    <row r="464" spans="2:19" ht="12.5">
      <c r="B464" s="38"/>
      <c r="L464" s="7"/>
      <c r="N464" s="30"/>
      <c r="S464" s="30"/>
    </row>
    <row r="465" spans="2:19" ht="12.5">
      <c r="B465" s="38"/>
      <c r="L465" s="7"/>
      <c r="N465" s="30"/>
      <c r="S465" s="30"/>
    </row>
    <row r="466" spans="2:19" ht="12.5">
      <c r="B466" s="38"/>
      <c r="L466" s="7"/>
      <c r="N466" s="30"/>
      <c r="S466" s="30"/>
    </row>
    <row r="467" spans="2:19" ht="12.5">
      <c r="B467" s="38"/>
      <c r="L467" s="7"/>
      <c r="N467" s="30"/>
      <c r="S467" s="30"/>
    </row>
    <row r="468" spans="2:19" ht="12.5">
      <c r="B468" s="38"/>
      <c r="L468" s="7"/>
      <c r="N468" s="30"/>
      <c r="S468" s="30"/>
    </row>
    <row r="469" spans="2:19" ht="12.5">
      <c r="B469" s="38"/>
      <c r="L469" s="7"/>
      <c r="N469" s="30"/>
      <c r="S469" s="30"/>
    </row>
    <row r="470" spans="2:19" ht="12.5">
      <c r="B470" s="38"/>
      <c r="L470" s="7"/>
      <c r="N470" s="30"/>
      <c r="S470" s="30"/>
    </row>
    <row r="471" spans="2:19" ht="12.5">
      <c r="B471" s="38"/>
      <c r="L471" s="7"/>
      <c r="N471" s="30"/>
      <c r="S471" s="30"/>
    </row>
    <row r="472" spans="2:19" ht="12.5">
      <c r="B472" s="38"/>
      <c r="L472" s="7"/>
      <c r="N472" s="30"/>
      <c r="S472" s="30"/>
    </row>
    <row r="473" spans="2:19" ht="12.5">
      <c r="B473" s="38"/>
      <c r="L473" s="7"/>
      <c r="N473" s="30"/>
      <c r="S473" s="30"/>
    </row>
    <row r="474" spans="2:19" ht="12.5">
      <c r="B474" s="38"/>
      <c r="L474" s="7"/>
      <c r="N474" s="30"/>
      <c r="S474" s="30"/>
    </row>
    <row r="475" spans="2:19" ht="12.5">
      <c r="B475" s="38"/>
      <c r="L475" s="7"/>
      <c r="N475" s="30"/>
      <c r="S475" s="30"/>
    </row>
    <row r="476" spans="2:19" ht="12.5">
      <c r="B476" s="38"/>
      <c r="L476" s="7"/>
      <c r="N476" s="30"/>
      <c r="S476" s="30"/>
    </row>
    <row r="477" spans="2:19" ht="12.5">
      <c r="B477" s="38"/>
      <c r="L477" s="7"/>
      <c r="N477" s="30"/>
      <c r="S477" s="30"/>
    </row>
    <row r="478" spans="2:19" ht="12.5">
      <c r="B478" s="38"/>
      <c r="L478" s="7"/>
      <c r="N478" s="30"/>
      <c r="S478" s="30"/>
    </row>
    <row r="479" spans="2:19" ht="12.5">
      <c r="B479" s="38"/>
      <c r="L479" s="7"/>
      <c r="N479" s="30"/>
      <c r="S479" s="30"/>
    </row>
    <row r="480" spans="2:19" ht="12.5">
      <c r="B480" s="38"/>
      <c r="L480" s="7"/>
      <c r="N480" s="30"/>
      <c r="S480" s="30"/>
    </row>
    <row r="481" spans="2:19" ht="12.5">
      <c r="B481" s="38"/>
      <c r="L481" s="7"/>
      <c r="N481" s="30"/>
      <c r="S481" s="30"/>
    </row>
    <row r="482" spans="2:19" ht="12.5">
      <c r="B482" s="38"/>
      <c r="L482" s="7"/>
      <c r="N482" s="30"/>
      <c r="S482" s="30"/>
    </row>
    <row r="483" spans="2:19" ht="12.5">
      <c r="B483" s="38"/>
      <c r="L483" s="7"/>
      <c r="N483" s="30"/>
      <c r="S483" s="30"/>
    </row>
    <row r="484" spans="2:19" ht="12.5">
      <c r="B484" s="38"/>
      <c r="L484" s="7"/>
      <c r="N484" s="30"/>
      <c r="S484" s="30"/>
    </row>
    <row r="485" spans="2:19" ht="12.5">
      <c r="B485" s="38"/>
      <c r="L485" s="7"/>
      <c r="N485" s="30"/>
      <c r="S485" s="30"/>
    </row>
    <row r="486" spans="2:19" ht="12.5">
      <c r="B486" s="38"/>
      <c r="L486" s="7"/>
      <c r="N486" s="30"/>
      <c r="S486" s="30"/>
    </row>
    <row r="487" spans="2:19" ht="12.5">
      <c r="B487" s="38"/>
      <c r="L487" s="7"/>
      <c r="N487" s="30"/>
      <c r="S487" s="30"/>
    </row>
    <row r="488" spans="2:19" ht="12.5">
      <c r="B488" s="38"/>
      <c r="L488" s="7"/>
      <c r="N488" s="30"/>
      <c r="S488" s="30"/>
    </row>
    <row r="489" spans="2:19" ht="12.5">
      <c r="B489" s="38"/>
      <c r="L489" s="7"/>
      <c r="N489" s="30"/>
      <c r="S489" s="30"/>
    </row>
    <row r="490" spans="2:19" ht="12.5">
      <c r="B490" s="38"/>
      <c r="L490" s="7"/>
      <c r="N490" s="30"/>
      <c r="S490" s="30"/>
    </row>
    <row r="491" spans="2:19" ht="12.5">
      <c r="B491" s="38"/>
      <c r="L491" s="7"/>
      <c r="N491" s="30"/>
      <c r="S491" s="30"/>
    </row>
    <row r="492" spans="2:19" ht="12.5">
      <c r="B492" s="38"/>
      <c r="L492" s="7"/>
      <c r="N492" s="30"/>
      <c r="S492" s="30"/>
    </row>
    <row r="493" spans="2:19" ht="12.5">
      <c r="B493" s="38"/>
      <c r="L493" s="7"/>
      <c r="N493" s="30"/>
      <c r="S493" s="30"/>
    </row>
    <row r="494" spans="2:19" ht="12.5">
      <c r="B494" s="38"/>
      <c r="L494" s="7"/>
      <c r="N494" s="30"/>
      <c r="S494" s="30"/>
    </row>
    <row r="495" spans="2:19" ht="12.5">
      <c r="B495" s="38"/>
      <c r="L495" s="7"/>
      <c r="N495" s="30"/>
      <c r="S495" s="30"/>
    </row>
    <row r="496" spans="2:19" ht="12.5">
      <c r="B496" s="38"/>
      <c r="L496" s="7"/>
      <c r="N496" s="30"/>
      <c r="S496" s="30"/>
    </row>
    <row r="497" spans="2:19" ht="12.5">
      <c r="B497" s="38"/>
      <c r="L497" s="7"/>
      <c r="N497" s="30"/>
      <c r="S497" s="30"/>
    </row>
    <row r="498" spans="2:19" ht="12.5">
      <c r="B498" s="38"/>
      <c r="L498" s="7"/>
      <c r="N498" s="30"/>
      <c r="S498" s="30"/>
    </row>
    <row r="499" spans="2:19" ht="12.5">
      <c r="B499" s="38"/>
      <c r="L499" s="7"/>
      <c r="N499" s="30"/>
      <c r="S499" s="30"/>
    </row>
    <row r="500" spans="2:19" ht="12.5">
      <c r="B500" s="38"/>
      <c r="L500" s="7"/>
      <c r="N500" s="30"/>
      <c r="S500" s="30"/>
    </row>
    <row r="501" spans="2:19" ht="12.5">
      <c r="B501" s="38"/>
      <c r="L501" s="7"/>
      <c r="N501" s="30"/>
      <c r="S501" s="30"/>
    </row>
    <row r="502" spans="2:19" ht="12.5">
      <c r="B502" s="38"/>
      <c r="L502" s="7"/>
      <c r="N502" s="30"/>
      <c r="S502" s="30"/>
    </row>
    <row r="503" spans="2:19" ht="12.5">
      <c r="B503" s="38"/>
      <c r="L503" s="7"/>
      <c r="N503" s="30"/>
      <c r="S503" s="30"/>
    </row>
    <row r="504" spans="2:19" ht="12.5">
      <c r="B504" s="38"/>
      <c r="L504" s="7"/>
      <c r="N504" s="30"/>
      <c r="S504" s="30"/>
    </row>
    <row r="505" spans="2:19" ht="12.5">
      <c r="B505" s="38"/>
      <c r="L505" s="7"/>
      <c r="N505" s="30"/>
      <c r="S505" s="30"/>
    </row>
    <row r="506" spans="2:19" ht="12.5">
      <c r="B506" s="38"/>
      <c r="L506" s="7"/>
      <c r="N506" s="30"/>
      <c r="S506" s="30"/>
    </row>
    <row r="507" spans="2:19" ht="12.5">
      <c r="B507" s="38"/>
      <c r="L507" s="7"/>
      <c r="N507" s="30"/>
      <c r="S507" s="30"/>
    </row>
    <row r="508" spans="2:19" ht="12.5">
      <c r="B508" s="38"/>
      <c r="L508" s="7"/>
      <c r="N508" s="30"/>
      <c r="S508" s="30"/>
    </row>
    <row r="509" spans="2:19" ht="12.5">
      <c r="B509" s="38"/>
      <c r="L509" s="7"/>
      <c r="N509" s="30"/>
      <c r="S509" s="30"/>
    </row>
    <row r="510" spans="2:19" ht="12.5">
      <c r="B510" s="38"/>
      <c r="L510" s="7"/>
      <c r="N510" s="30"/>
      <c r="S510" s="30"/>
    </row>
    <row r="511" spans="2:19" ht="12.5">
      <c r="B511" s="38"/>
      <c r="L511" s="7"/>
      <c r="N511" s="30"/>
      <c r="S511" s="30"/>
    </row>
    <row r="512" spans="2:19" ht="12.5">
      <c r="B512" s="38"/>
      <c r="L512" s="7"/>
      <c r="N512" s="30"/>
      <c r="S512" s="30"/>
    </row>
    <row r="513" spans="2:19" ht="12.5">
      <c r="B513" s="38"/>
      <c r="L513" s="7"/>
      <c r="N513" s="30"/>
      <c r="S513" s="30"/>
    </row>
    <row r="514" spans="2:19" ht="12.5">
      <c r="B514" s="38"/>
      <c r="L514" s="7"/>
      <c r="N514" s="30"/>
      <c r="S514" s="30"/>
    </row>
    <row r="515" spans="2:19" ht="12.5">
      <c r="B515" s="38"/>
      <c r="L515" s="7"/>
      <c r="N515" s="30"/>
      <c r="S515" s="30"/>
    </row>
    <row r="516" spans="2:19" ht="12.5">
      <c r="B516" s="38"/>
      <c r="L516" s="7"/>
      <c r="N516" s="30"/>
      <c r="S516" s="30"/>
    </row>
    <row r="517" spans="2:19" ht="12.5">
      <c r="B517" s="38"/>
      <c r="L517" s="7"/>
      <c r="N517" s="30"/>
      <c r="S517" s="30"/>
    </row>
    <row r="518" spans="2:19" ht="12.5">
      <c r="B518" s="38"/>
      <c r="L518" s="7"/>
      <c r="N518" s="30"/>
      <c r="S518" s="30"/>
    </row>
    <row r="519" spans="2:19" ht="12.5">
      <c r="B519" s="38"/>
      <c r="L519" s="7"/>
      <c r="N519" s="30"/>
      <c r="S519" s="30"/>
    </row>
    <row r="520" spans="2:19" ht="12.5">
      <c r="B520" s="38"/>
      <c r="L520" s="7"/>
      <c r="N520" s="30"/>
      <c r="S520" s="30"/>
    </row>
    <row r="521" spans="2:19" ht="12.5">
      <c r="B521" s="38"/>
      <c r="L521" s="7"/>
      <c r="N521" s="30"/>
      <c r="S521" s="30"/>
    </row>
    <row r="522" spans="2:19" ht="12.5">
      <c r="B522" s="38"/>
      <c r="L522" s="7"/>
      <c r="N522" s="30"/>
      <c r="S522" s="30"/>
    </row>
    <row r="523" spans="2:19" ht="12.5">
      <c r="B523" s="38"/>
      <c r="L523" s="7"/>
      <c r="N523" s="30"/>
      <c r="S523" s="30"/>
    </row>
    <row r="524" spans="2:19" ht="12.5">
      <c r="B524" s="38"/>
      <c r="L524" s="7"/>
      <c r="N524" s="30"/>
      <c r="S524" s="30"/>
    </row>
    <row r="525" spans="2:19" ht="12.5">
      <c r="B525" s="38"/>
      <c r="L525" s="7"/>
      <c r="N525" s="30"/>
      <c r="S525" s="30"/>
    </row>
    <row r="526" spans="2:19" ht="12.5">
      <c r="B526" s="38"/>
      <c r="L526" s="7"/>
      <c r="N526" s="30"/>
      <c r="S526" s="30"/>
    </row>
    <row r="527" spans="2:19" ht="12.5">
      <c r="B527" s="38"/>
      <c r="L527" s="7"/>
      <c r="N527" s="30"/>
      <c r="S527" s="30"/>
    </row>
    <row r="528" spans="2:19" ht="12.5">
      <c r="B528" s="38"/>
      <c r="L528" s="7"/>
      <c r="N528" s="30"/>
      <c r="S528" s="30"/>
    </row>
    <row r="529" spans="2:19" ht="12.5">
      <c r="B529" s="38"/>
      <c r="L529" s="7"/>
      <c r="N529" s="30"/>
      <c r="S529" s="30"/>
    </row>
    <row r="530" spans="2:19" ht="12.5">
      <c r="B530" s="38"/>
      <c r="L530" s="7"/>
      <c r="N530" s="30"/>
      <c r="S530" s="30"/>
    </row>
    <row r="531" spans="2:19" ht="12.5">
      <c r="B531" s="38"/>
      <c r="L531" s="7"/>
      <c r="N531" s="30"/>
      <c r="S531" s="30"/>
    </row>
    <row r="532" spans="2:19" ht="12.5">
      <c r="B532" s="38"/>
      <c r="L532" s="7"/>
      <c r="N532" s="30"/>
      <c r="S532" s="30"/>
    </row>
    <row r="533" spans="2:19" ht="12.5">
      <c r="B533" s="38"/>
      <c r="L533" s="7"/>
      <c r="N533" s="30"/>
      <c r="S533" s="30"/>
    </row>
    <row r="534" spans="2:19" ht="12.5">
      <c r="B534" s="38"/>
      <c r="L534" s="7"/>
      <c r="N534" s="30"/>
      <c r="S534" s="30"/>
    </row>
    <row r="535" spans="2:19" ht="12.5">
      <c r="B535" s="38"/>
      <c r="L535" s="7"/>
      <c r="N535" s="30"/>
      <c r="S535" s="30"/>
    </row>
    <row r="536" spans="2:19" ht="12.5">
      <c r="B536" s="38"/>
      <c r="L536" s="7"/>
      <c r="N536" s="30"/>
      <c r="S536" s="30"/>
    </row>
    <row r="537" spans="2:19" ht="12.5">
      <c r="B537" s="38"/>
      <c r="L537" s="7"/>
      <c r="N537" s="30"/>
      <c r="S537" s="30"/>
    </row>
    <row r="538" spans="2:19" ht="12.5">
      <c r="B538" s="38"/>
      <c r="L538" s="7"/>
      <c r="N538" s="30"/>
      <c r="S538" s="30"/>
    </row>
    <row r="539" spans="2:19" ht="12.5">
      <c r="B539" s="38"/>
      <c r="L539" s="7"/>
      <c r="N539" s="30"/>
      <c r="S539" s="30"/>
    </row>
    <row r="540" spans="2:19" ht="12.5">
      <c r="B540" s="38"/>
      <c r="L540" s="7"/>
      <c r="N540" s="30"/>
      <c r="S540" s="30"/>
    </row>
    <row r="541" spans="2:19" ht="12.5">
      <c r="B541" s="38"/>
      <c r="L541" s="7"/>
      <c r="N541" s="30"/>
      <c r="S541" s="30"/>
    </row>
    <row r="542" spans="2:19" ht="12.5">
      <c r="B542" s="38"/>
      <c r="L542" s="7"/>
      <c r="N542" s="30"/>
      <c r="S542" s="30"/>
    </row>
    <row r="543" spans="2:19" ht="12.5">
      <c r="B543" s="38"/>
      <c r="L543" s="7"/>
      <c r="N543" s="30"/>
      <c r="S543" s="30"/>
    </row>
    <row r="544" spans="2:19" ht="12.5">
      <c r="B544" s="38"/>
      <c r="L544" s="7"/>
      <c r="N544" s="30"/>
      <c r="S544" s="30"/>
    </row>
    <row r="545" spans="2:19" ht="12.5">
      <c r="B545" s="38"/>
      <c r="L545" s="7"/>
      <c r="N545" s="30"/>
      <c r="S545" s="30"/>
    </row>
    <row r="546" spans="2:19" ht="12.5">
      <c r="B546" s="38"/>
      <c r="L546" s="7"/>
      <c r="N546" s="30"/>
      <c r="S546" s="30"/>
    </row>
    <row r="547" spans="2:19" ht="12.5">
      <c r="B547" s="38"/>
      <c r="L547" s="7"/>
      <c r="N547" s="30"/>
      <c r="S547" s="30"/>
    </row>
    <row r="548" spans="2:19" ht="12.5">
      <c r="B548" s="38"/>
      <c r="L548" s="7"/>
      <c r="N548" s="30"/>
      <c r="S548" s="30"/>
    </row>
    <row r="549" spans="2:19" ht="12.5">
      <c r="B549" s="38"/>
      <c r="L549" s="7"/>
      <c r="N549" s="30"/>
      <c r="S549" s="30"/>
    </row>
    <row r="550" spans="2:19" ht="12.5">
      <c r="B550" s="38"/>
      <c r="L550" s="7"/>
      <c r="N550" s="30"/>
      <c r="S550" s="30"/>
    </row>
    <row r="551" spans="2:19" ht="12.5">
      <c r="B551" s="38"/>
      <c r="L551" s="7"/>
      <c r="N551" s="30"/>
      <c r="S551" s="30"/>
    </row>
    <row r="552" spans="2:19" ht="12.5">
      <c r="B552" s="38"/>
      <c r="L552" s="7"/>
      <c r="N552" s="30"/>
      <c r="S552" s="30"/>
    </row>
    <row r="553" spans="2:19" ht="12.5">
      <c r="B553" s="38"/>
      <c r="L553" s="7"/>
      <c r="N553" s="30"/>
      <c r="S553" s="30"/>
    </row>
    <row r="554" spans="2:19" ht="12.5">
      <c r="B554" s="38"/>
      <c r="L554" s="7"/>
      <c r="N554" s="30"/>
      <c r="S554" s="30"/>
    </row>
    <row r="555" spans="2:19" ht="12.5">
      <c r="B555" s="38"/>
      <c r="L555" s="7"/>
      <c r="N555" s="30"/>
      <c r="S555" s="30"/>
    </row>
    <row r="556" spans="2:19" ht="12.5">
      <c r="B556" s="38"/>
      <c r="L556" s="7"/>
      <c r="N556" s="30"/>
      <c r="S556" s="30"/>
    </row>
    <row r="557" spans="2:19" ht="12.5">
      <c r="B557" s="38"/>
      <c r="L557" s="7"/>
      <c r="N557" s="30"/>
      <c r="S557" s="30"/>
    </row>
    <row r="558" spans="2:19" ht="12.5">
      <c r="B558" s="38"/>
      <c r="L558" s="7"/>
      <c r="N558" s="30"/>
      <c r="S558" s="30"/>
    </row>
    <row r="559" spans="2:19" ht="12.5">
      <c r="B559" s="38"/>
      <c r="L559" s="7"/>
      <c r="N559" s="30"/>
      <c r="S559" s="30"/>
    </row>
    <row r="560" spans="2:19" ht="12.5">
      <c r="B560" s="38"/>
      <c r="L560" s="7"/>
      <c r="N560" s="30"/>
      <c r="S560" s="30"/>
    </row>
    <row r="561" spans="2:19" ht="12.5">
      <c r="B561" s="38"/>
      <c r="L561" s="7"/>
      <c r="N561" s="30"/>
      <c r="S561" s="30"/>
    </row>
    <row r="562" spans="2:19" ht="12.5">
      <c r="B562" s="38"/>
      <c r="L562" s="7"/>
      <c r="N562" s="30"/>
      <c r="S562" s="30"/>
    </row>
    <row r="563" spans="2:19" ht="12.5">
      <c r="B563" s="38"/>
      <c r="L563" s="7"/>
      <c r="N563" s="30"/>
      <c r="S563" s="30"/>
    </row>
    <row r="564" spans="2:19" ht="12.5">
      <c r="B564" s="38"/>
      <c r="L564" s="7"/>
      <c r="N564" s="30"/>
      <c r="S564" s="30"/>
    </row>
    <row r="565" spans="2:19" ht="12.5">
      <c r="B565" s="38"/>
      <c r="L565" s="7"/>
      <c r="N565" s="30"/>
      <c r="S565" s="30"/>
    </row>
    <row r="566" spans="2:19" ht="12.5">
      <c r="B566" s="38"/>
      <c r="L566" s="7"/>
      <c r="N566" s="30"/>
      <c r="S566" s="30"/>
    </row>
    <row r="567" spans="2:19" ht="12.5">
      <c r="B567" s="38"/>
      <c r="L567" s="7"/>
      <c r="N567" s="30"/>
      <c r="S567" s="30"/>
    </row>
    <row r="568" spans="2:19" ht="12.5">
      <c r="B568" s="38"/>
      <c r="L568" s="7"/>
      <c r="N568" s="30"/>
      <c r="S568" s="30"/>
    </row>
    <row r="569" spans="2:19" ht="12.5">
      <c r="B569" s="38"/>
      <c r="L569" s="7"/>
      <c r="N569" s="30"/>
      <c r="S569" s="30"/>
    </row>
    <row r="570" spans="2:19" ht="12.5">
      <c r="B570" s="38"/>
      <c r="L570" s="7"/>
      <c r="N570" s="30"/>
      <c r="S570" s="30"/>
    </row>
    <row r="571" spans="2:19" ht="12.5">
      <c r="B571" s="38"/>
      <c r="L571" s="7"/>
      <c r="N571" s="30"/>
      <c r="S571" s="30"/>
    </row>
    <row r="572" spans="2:19" ht="12.5">
      <c r="B572" s="38"/>
      <c r="L572" s="7"/>
      <c r="N572" s="30"/>
      <c r="S572" s="30"/>
    </row>
    <row r="573" spans="2:19" ht="12.5">
      <c r="B573" s="38"/>
      <c r="L573" s="7"/>
      <c r="N573" s="30"/>
      <c r="S573" s="30"/>
    </row>
    <row r="574" spans="2:19" ht="12.5">
      <c r="B574" s="38"/>
      <c r="L574" s="7"/>
      <c r="N574" s="30"/>
      <c r="S574" s="30"/>
    </row>
    <row r="575" spans="2:19" ht="12.5">
      <c r="B575" s="38"/>
      <c r="L575" s="7"/>
      <c r="N575" s="30"/>
      <c r="S575" s="30"/>
    </row>
    <row r="576" spans="2:19" ht="12.5">
      <c r="B576" s="38"/>
      <c r="L576" s="7"/>
      <c r="N576" s="30"/>
      <c r="S576" s="30"/>
    </row>
    <row r="577" spans="2:19" ht="12.5">
      <c r="B577" s="38"/>
      <c r="L577" s="7"/>
      <c r="N577" s="30"/>
      <c r="S577" s="30"/>
    </row>
    <row r="578" spans="2:19" ht="12.5">
      <c r="B578" s="38"/>
      <c r="L578" s="7"/>
      <c r="N578" s="30"/>
      <c r="S578" s="30"/>
    </row>
    <row r="579" spans="2:19" ht="12.5">
      <c r="B579" s="38"/>
      <c r="L579" s="7"/>
      <c r="N579" s="30"/>
      <c r="S579" s="30"/>
    </row>
    <row r="580" spans="2:19" ht="12.5">
      <c r="B580" s="38"/>
      <c r="L580" s="7"/>
      <c r="N580" s="30"/>
      <c r="S580" s="30"/>
    </row>
    <row r="581" spans="2:19" ht="12.5">
      <c r="B581" s="38"/>
      <c r="L581" s="7"/>
      <c r="N581" s="30"/>
      <c r="S581" s="30"/>
    </row>
    <row r="582" spans="2:19" ht="12.5">
      <c r="B582" s="38"/>
      <c r="L582" s="7"/>
      <c r="N582" s="30"/>
      <c r="S582" s="30"/>
    </row>
    <row r="583" spans="2:19" ht="12.5">
      <c r="B583" s="38"/>
      <c r="L583" s="7"/>
      <c r="N583" s="30"/>
      <c r="S583" s="30"/>
    </row>
    <row r="584" spans="2:19" ht="12.5">
      <c r="B584" s="38"/>
      <c r="L584" s="7"/>
      <c r="N584" s="30"/>
      <c r="S584" s="30"/>
    </row>
    <row r="585" spans="2:19" ht="12.5">
      <c r="B585" s="38"/>
      <c r="L585" s="7"/>
      <c r="N585" s="30"/>
      <c r="S585" s="30"/>
    </row>
    <row r="586" spans="2:19" ht="12.5">
      <c r="B586" s="38"/>
      <c r="L586" s="7"/>
      <c r="N586" s="30"/>
      <c r="S586" s="30"/>
    </row>
    <row r="587" spans="2:19" ht="12.5">
      <c r="B587" s="38"/>
      <c r="L587" s="7"/>
      <c r="N587" s="30"/>
      <c r="S587" s="30"/>
    </row>
    <row r="588" spans="2:19" ht="12.5">
      <c r="B588" s="38"/>
      <c r="L588" s="7"/>
      <c r="N588" s="30"/>
      <c r="S588" s="30"/>
    </row>
    <row r="589" spans="2:19" ht="12.5">
      <c r="B589" s="38"/>
      <c r="L589" s="7"/>
      <c r="N589" s="30"/>
      <c r="S589" s="30"/>
    </row>
    <row r="590" spans="2:19" ht="12.5">
      <c r="B590" s="38"/>
      <c r="L590" s="7"/>
      <c r="N590" s="30"/>
      <c r="S590" s="30"/>
    </row>
    <row r="591" spans="2:19" ht="12.5">
      <c r="B591" s="38"/>
      <c r="L591" s="7"/>
      <c r="N591" s="30"/>
      <c r="S591" s="30"/>
    </row>
    <row r="592" spans="2:19" ht="12.5">
      <c r="B592" s="38"/>
      <c r="L592" s="7"/>
      <c r="N592" s="30"/>
      <c r="S592" s="30"/>
    </row>
    <row r="593" spans="2:19" ht="12.5">
      <c r="B593" s="38"/>
      <c r="L593" s="7"/>
      <c r="N593" s="30"/>
      <c r="S593" s="30"/>
    </row>
    <row r="594" spans="2:19" ht="12.5">
      <c r="B594" s="38"/>
      <c r="L594" s="7"/>
      <c r="N594" s="30"/>
      <c r="S594" s="30"/>
    </row>
    <row r="595" spans="2:19" ht="12.5">
      <c r="B595" s="38"/>
      <c r="L595" s="7"/>
      <c r="N595" s="30"/>
      <c r="S595" s="30"/>
    </row>
    <row r="596" spans="2:19" ht="12.5">
      <c r="B596" s="38"/>
      <c r="L596" s="7"/>
      <c r="N596" s="30"/>
      <c r="S596" s="30"/>
    </row>
    <row r="597" spans="2:19" ht="12.5">
      <c r="B597" s="38"/>
      <c r="L597" s="7"/>
      <c r="N597" s="30"/>
      <c r="S597" s="30"/>
    </row>
    <row r="598" spans="2:19" ht="12.5">
      <c r="B598" s="38"/>
      <c r="L598" s="7"/>
      <c r="N598" s="30"/>
      <c r="S598" s="30"/>
    </row>
    <row r="599" spans="2:19" ht="12.5">
      <c r="B599" s="38"/>
      <c r="L599" s="7"/>
      <c r="N599" s="30"/>
      <c r="S599" s="30"/>
    </row>
    <row r="600" spans="2:19" ht="12.5">
      <c r="B600" s="38"/>
      <c r="L600" s="7"/>
      <c r="N600" s="30"/>
      <c r="S600" s="30"/>
    </row>
    <row r="601" spans="2:19" ht="12.5">
      <c r="B601" s="38"/>
      <c r="L601" s="7"/>
      <c r="N601" s="30"/>
      <c r="S601" s="30"/>
    </row>
    <row r="602" spans="2:19" ht="12.5">
      <c r="B602" s="38"/>
      <c r="L602" s="7"/>
      <c r="N602" s="30"/>
      <c r="S602" s="30"/>
    </row>
    <row r="603" spans="2:19" ht="12.5">
      <c r="B603" s="38"/>
      <c r="L603" s="7"/>
      <c r="N603" s="30"/>
      <c r="S603" s="30"/>
    </row>
    <row r="604" spans="2:19" ht="12.5">
      <c r="B604" s="38"/>
      <c r="L604" s="7"/>
      <c r="N604" s="30"/>
      <c r="S604" s="30"/>
    </row>
    <row r="605" spans="2:19" ht="12.5">
      <c r="B605" s="38"/>
      <c r="L605" s="7"/>
      <c r="N605" s="30"/>
      <c r="S605" s="30"/>
    </row>
    <row r="606" spans="2:19" ht="12.5">
      <c r="B606" s="38"/>
      <c r="L606" s="7"/>
      <c r="N606" s="30"/>
      <c r="S606" s="30"/>
    </row>
    <row r="607" spans="2:19" ht="12.5">
      <c r="B607" s="38"/>
      <c r="L607" s="7"/>
      <c r="N607" s="30"/>
      <c r="S607" s="30"/>
    </row>
    <row r="608" spans="2:19" ht="12.5">
      <c r="B608" s="38"/>
      <c r="L608" s="7"/>
      <c r="N608" s="30"/>
      <c r="S608" s="30"/>
    </row>
    <row r="609" spans="2:19" ht="12.5">
      <c r="B609" s="38"/>
      <c r="L609" s="7"/>
      <c r="N609" s="30"/>
      <c r="S609" s="30"/>
    </row>
    <row r="610" spans="2:19" ht="12.5">
      <c r="B610" s="38"/>
      <c r="L610" s="7"/>
      <c r="N610" s="30"/>
      <c r="S610" s="30"/>
    </row>
    <row r="611" spans="2:19" ht="12.5">
      <c r="B611" s="38"/>
      <c r="L611" s="7"/>
      <c r="N611" s="30"/>
      <c r="S611" s="30"/>
    </row>
    <row r="612" spans="2:19" ht="12.5">
      <c r="B612" s="38"/>
      <c r="L612" s="7"/>
      <c r="N612" s="30"/>
      <c r="S612" s="30"/>
    </row>
    <row r="613" spans="2:19" ht="12.5">
      <c r="B613" s="38"/>
      <c r="L613" s="7"/>
      <c r="N613" s="30"/>
      <c r="S613" s="30"/>
    </row>
    <row r="614" spans="2:19" ht="12.5">
      <c r="B614" s="38"/>
      <c r="L614" s="7"/>
      <c r="N614" s="30"/>
      <c r="S614" s="30"/>
    </row>
    <row r="615" spans="2:19" ht="12.5">
      <c r="B615" s="38"/>
      <c r="L615" s="7"/>
      <c r="N615" s="30"/>
      <c r="S615" s="30"/>
    </row>
    <row r="616" spans="2:19" ht="12.5">
      <c r="B616" s="38"/>
      <c r="L616" s="7"/>
      <c r="N616" s="30"/>
      <c r="S616" s="30"/>
    </row>
    <row r="617" spans="2:19" ht="12.5">
      <c r="B617" s="38"/>
      <c r="L617" s="7"/>
      <c r="N617" s="30"/>
      <c r="S617" s="30"/>
    </row>
    <row r="618" spans="2:19" ht="12.5">
      <c r="B618" s="38"/>
      <c r="L618" s="7"/>
      <c r="N618" s="30"/>
      <c r="S618" s="30"/>
    </row>
    <row r="619" spans="2:19" ht="12.5">
      <c r="B619" s="38"/>
      <c r="L619" s="7"/>
      <c r="N619" s="30"/>
      <c r="S619" s="30"/>
    </row>
    <row r="620" spans="2:19" ht="12.5">
      <c r="B620" s="38"/>
      <c r="L620" s="7"/>
      <c r="N620" s="30"/>
      <c r="S620" s="30"/>
    </row>
    <row r="621" spans="2:19" ht="12.5">
      <c r="B621" s="38"/>
      <c r="L621" s="7"/>
      <c r="N621" s="30"/>
      <c r="S621" s="30"/>
    </row>
    <row r="622" spans="2:19" ht="12.5">
      <c r="B622" s="38"/>
      <c r="L622" s="7"/>
      <c r="N622" s="30"/>
      <c r="S622" s="30"/>
    </row>
    <row r="623" spans="2:19" ht="12.5">
      <c r="B623" s="38"/>
      <c r="L623" s="7"/>
      <c r="N623" s="30"/>
      <c r="S623" s="30"/>
    </row>
    <row r="624" spans="2:19" ht="12.5">
      <c r="B624" s="38"/>
      <c r="L624" s="7"/>
      <c r="N624" s="30"/>
      <c r="S624" s="30"/>
    </row>
    <row r="625" spans="2:19" ht="12.5">
      <c r="B625" s="38"/>
      <c r="L625" s="7"/>
      <c r="N625" s="30"/>
      <c r="S625" s="30"/>
    </row>
    <row r="626" spans="2:19" ht="12.5">
      <c r="B626" s="38"/>
      <c r="L626" s="7"/>
      <c r="N626" s="30"/>
      <c r="S626" s="30"/>
    </row>
    <row r="627" spans="2:19" ht="12.5">
      <c r="B627" s="38"/>
      <c r="L627" s="7"/>
      <c r="N627" s="30"/>
      <c r="S627" s="30"/>
    </row>
    <row r="628" spans="2:19" ht="12.5">
      <c r="B628" s="38"/>
      <c r="L628" s="7"/>
      <c r="N628" s="30"/>
      <c r="S628" s="30"/>
    </row>
    <row r="629" spans="2:19" ht="12.5">
      <c r="B629" s="38"/>
      <c r="L629" s="7"/>
      <c r="N629" s="30"/>
      <c r="S629" s="30"/>
    </row>
    <row r="630" spans="2:19" ht="12.5">
      <c r="B630" s="38"/>
      <c r="L630" s="7"/>
      <c r="N630" s="30"/>
      <c r="S630" s="30"/>
    </row>
    <row r="631" spans="2:19" ht="12.5">
      <c r="B631" s="38"/>
      <c r="L631" s="7"/>
      <c r="N631" s="30"/>
      <c r="S631" s="30"/>
    </row>
    <row r="632" spans="2:19" ht="12.5">
      <c r="B632" s="38"/>
      <c r="L632" s="7"/>
      <c r="N632" s="30"/>
      <c r="S632" s="30"/>
    </row>
    <row r="633" spans="2:19" ht="12.5">
      <c r="B633" s="38"/>
      <c r="L633" s="7"/>
      <c r="N633" s="30"/>
      <c r="S633" s="30"/>
    </row>
    <row r="634" spans="2:19" ht="12.5">
      <c r="B634" s="38"/>
      <c r="L634" s="7"/>
      <c r="N634" s="30"/>
      <c r="S634" s="30"/>
    </row>
    <row r="635" spans="2:19" ht="12.5">
      <c r="B635" s="38"/>
      <c r="L635" s="7"/>
      <c r="N635" s="30"/>
      <c r="S635" s="30"/>
    </row>
    <row r="636" spans="2:19" ht="12.5">
      <c r="B636" s="38"/>
      <c r="L636" s="7"/>
      <c r="N636" s="30"/>
      <c r="S636" s="30"/>
    </row>
    <row r="637" spans="2:19" ht="12.5">
      <c r="B637" s="38"/>
      <c r="L637" s="7"/>
      <c r="N637" s="30"/>
      <c r="S637" s="30"/>
    </row>
    <row r="638" spans="2:19" ht="12.5">
      <c r="B638" s="38"/>
      <c r="L638" s="7"/>
      <c r="N638" s="30"/>
      <c r="S638" s="30"/>
    </row>
    <row r="639" spans="2:19" ht="12.5">
      <c r="B639" s="38"/>
      <c r="L639" s="7"/>
      <c r="N639" s="30"/>
      <c r="S639" s="30"/>
    </row>
    <row r="640" spans="2:19" ht="12.5">
      <c r="B640" s="38"/>
      <c r="L640" s="7"/>
      <c r="N640" s="30"/>
      <c r="S640" s="30"/>
    </row>
    <row r="641" spans="2:19" ht="12.5">
      <c r="B641" s="38"/>
      <c r="L641" s="7"/>
      <c r="N641" s="30"/>
      <c r="S641" s="30"/>
    </row>
    <row r="642" spans="2:19" ht="12.5">
      <c r="B642" s="38"/>
      <c r="L642" s="7"/>
      <c r="N642" s="30"/>
      <c r="S642" s="30"/>
    </row>
    <row r="643" spans="2:19" ht="12.5">
      <c r="B643" s="38"/>
      <c r="L643" s="7"/>
      <c r="N643" s="30"/>
      <c r="S643" s="30"/>
    </row>
    <row r="644" spans="2:19" ht="12.5">
      <c r="B644" s="38"/>
      <c r="L644" s="7"/>
      <c r="N644" s="30"/>
      <c r="S644" s="30"/>
    </row>
    <row r="645" spans="2:19" ht="12.5">
      <c r="B645" s="38"/>
      <c r="L645" s="7"/>
      <c r="N645" s="30"/>
      <c r="S645" s="30"/>
    </row>
    <row r="646" spans="2:19" ht="12.5">
      <c r="B646" s="38"/>
      <c r="L646" s="7"/>
      <c r="N646" s="30"/>
      <c r="S646" s="30"/>
    </row>
    <row r="647" spans="2:19" ht="12.5">
      <c r="B647" s="38"/>
      <c r="L647" s="7"/>
      <c r="N647" s="30"/>
      <c r="S647" s="30"/>
    </row>
    <row r="648" spans="2:19" ht="12.5">
      <c r="B648" s="38"/>
      <c r="L648" s="7"/>
      <c r="N648" s="30"/>
      <c r="S648" s="30"/>
    </row>
    <row r="649" spans="2:19" ht="12.5">
      <c r="B649" s="38"/>
      <c r="L649" s="7"/>
      <c r="N649" s="30"/>
      <c r="S649" s="30"/>
    </row>
    <row r="650" spans="2:19" ht="12.5">
      <c r="B650" s="38"/>
      <c r="L650" s="7"/>
      <c r="N650" s="30"/>
      <c r="S650" s="30"/>
    </row>
    <row r="651" spans="2:19" ht="12.5">
      <c r="B651" s="38"/>
      <c r="L651" s="7"/>
      <c r="N651" s="30"/>
      <c r="S651" s="30"/>
    </row>
    <row r="652" spans="2:19" ht="12.5">
      <c r="B652" s="38"/>
      <c r="L652" s="7"/>
      <c r="N652" s="30"/>
      <c r="S652" s="30"/>
    </row>
    <row r="653" spans="2:19" ht="12.5">
      <c r="B653" s="38"/>
      <c r="L653" s="7"/>
      <c r="N653" s="30"/>
      <c r="S653" s="30"/>
    </row>
    <row r="654" spans="2:19" ht="12.5">
      <c r="B654" s="38"/>
      <c r="L654" s="7"/>
      <c r="N654" s="30"/>
      <c r="S654" s="30"/>
    </row>
    <row r="655" spans="2:19" ht="12.5">
      <c r="B655" s="38"/>
      <c r="L655" s="7"/>
      <c r="N655" s="30"/>
      <c r="S655" s="30"/>
    </row>
    <row r="656" spans="2:19" ht="12.5">
      <c r="B656" s="38"/>
      <c r="L656" s="7"/>
      <c r="N656" s="30"/>
      <c r="S656" s="30"/>
    </row>
    <row r="657" spans="2:19" ht="12.5">
      <c r="B657" s="38"/>
      <c r="L657" s="7"/>
      <c r="N657" s="30"/>
      <c r="S657" s="30"/>
    </row>
    <row r="658" spans="2:19" ht="12.5">
      <c r="B658" s="38"/>
      <c r="L658" s="7"/>
      <c r="N658" s="30"/>
      <c r="S658" s="30"/>
    </row>
    <row r="659" spans="2:19" ht="12.5">
      <c r="B659" s="38"/>
      <c r="L659" s="7"/>
      <c r="N659" s="30"/>
      <c r="S659" s="30"/>
    </row>
    <row r="660" spans="2:19" ht="12.5">
      <c r="B660" s="38"/>
      <c r="L660" s="7"/>
      <c r="N660" s="30"/>
      <c r="S660" s="30"/>
    </row>
    <row r="661" spans="2:19" ht="12.5">
      <c r="B661" s="38"/>
      <c r="L661" s="7"/>
      <c r="N661" s="30"/>
      <c r="S661" s="30"/>
    </row>
    <row r="662" spans="2:19" ht="12.5">
      <c r="B662" s="38"/>
      <c r="L662" s="7"/>
      <c r="N662" s="30"/>
      <c r="S662" s="30"/>
    </row>
    <row r="663" spans="2:19" ht="12.5">
      <c r="B663" s="38"/>
      <c r="L663" s="7"/>
      <c r="N663" s="30"/>
      <c r="S663" s="30"/>
    </row>
    <row r="664" spans="2:19" ht="12.5">
      <c r="B664" s="38"/>
      <c r="L664" s="7"/>
      <c r="N664" s="30"/>
      <c r="S664" s="30"/>
    </row>
    <row r="665" spans="2:19" ht="12.5">
      <c r="B665" s="38"/>
      <c r="L665" s="7"/>
      <c r="N665" s="30"/>
      <c r="S665" s="30"/>
    </row>
    <row r="666" spans="2:19" ht="12.5">
      <c r="B666" s="38"/>
      <c r="L666" s="7"/>
      <c r="N666" s="30"/>
      <c r="S666" s="30"/>
    </row>
    <row r="667" spans="2:19" ht="12.5">
      <c r="B667" s="38"/>
      <c r="L667" s="7"/>
      <c r="N667" s="30"/>
      <c r="S667" s="30"/>
    </row>
    <row r="668" spans="2:19" ht="12.5">
      <c r="B668" s="38"/>
      <c r="L668" s="7"/>
      <c r="N668" s="30"/>
      <c r="S668" s="30"/>
    </row>
    <row r="669" spans="2:19" ht="12.5">
      <c r="B669" s="38"/>
      <c r="L669" s="7"/>
      <c r="N669" s="30"/>
      <c r="S669" s="30"/>
    </row>
    <row r="670" spans="2:19" ht="12.5">
      <c r="B670" s="38"/>
      <c r="L670" s="7"/>
      <c r="N670" s="30"/>
      <c r="S670" s="30"/>
    </row>
    <row r="671" spans="2:19" ht="12.5">
      <c r="B671" s="38"/>
      <c r="L671" s="7"/>
      <c r="N671" s="30"/>
      <c r="S671" s="30"/>
    </row>
    <row r="672" spans="2:19" ht="12.5">
      <c r="B672" s="38"/>
      <c r="L672" s="7"/>
      <c r="N672" s="30"/>
      <c r="S672" s="30"/>
    </row>
    <row r="673" spans="2:19" ht="12.5">
      <c r="B673" s="38"/>
      <c r="L673" s="7"/>
      <c r="N673" s="30"/>
      <c r="S673" s="30"/>
    </row>
    <row r="674" spans="2:19" ht="12.5">
      <c r="B674" s="38"/>
      <c r="L674" s="7"/>
      <c r="N674" s="30"/>
      <c r="S674" s="30"/>
    </row>
    <row r="675" spans="2:19" ht="12.5">
      <c r="B675" s="38"/>
      <c r="L675" s="7"/>
      <c r="N675" s="30"/>
      <c r="S675" s="30"/>
    </row>
    <row r="676" spans="2:19" ht="12.5">
      <c r="B676" s="38"/>
      <c r="L676" s="7"/>
      <c r="N676" s="30"/>
      <c r="S676" s="30"/>
    </row>
    <row r="677" spans="2:19" ht="12.5">
      <c r="B677" s="38"/>
      <c r="L677" s="7"/>
      <c r="N677" s="30"/>
      <c r="S677" s="30"/>
    </row>
    <row r="678" spans="2:19" ht="12.5">
      <c r="B678" s="38"/>
      <c r="L678" s="7"/>
      <c r="N678" s="30"/>
      <c r="S678" s="30"/>
    </row>
    <row r="679" spans="2:19" ht="12.5">
      <c r="B679" s="38"/>
      <c r="L679" s="7"/>
      <c r="N679" s="30"/>
      <c r="S679" s="30"/>
    </row>
    <row r="680" spans="2:19" ht="12.5">
      <c r="B680" s="38"/>
      <c r="L680" s="7"/>
      <c r="N680" s="30"/>
      <c r="S680" s="30"/>
    </row>
    <row r="681" spans="2:19" ht="12.5">
      <c r="B681" s="38"/>
      <c r="L681" s="7"/>
      <c r="N681" s="30"/>
      <c r="S681" s="30"/>
    </row>
    <row r="682" spans="2:19" ht="12.5">
      <c r="B682" s="38"/>
      <c r="L682" s="7"/>
      <c r="N682" s="30"/>
      <c r="S682" s="30"/>
    </row>
    <row r="683" spans="2:19" ht="12.5">
      <c r="B683" s="38"/>
      <c r="L683" s="7"/>
      <c r="N683" s="30"/>
      <c r="S683" s="30"/>
    </row>
    <row r="684" spans="2:19" ht="12.5">
      <c r="B684" s="38"/>
      <c r="L684" s="7"/>
      <c r="N684" s="30"/>
      <c r="S684" s="30"/>
    </row>
    <row r="685" spans="2:19" ht="12.5">
      <c r="B685" s="38"/>
      <c r="L685" s="7"/>
      <c r="N685" s="30"/>
      <c r="S685" s="30"/>
    </row>
    <row r="686" spans="2:19" ht="12.5">
      <c r="B686" s="38"/>
      <c r="L686" s="7"/>
      <c r="N686" s="30"/>
      <c r="S686" s="30"/>
    </row>
    <row r="687" spans="2:19" ht="12.5">
      <c r="B687" s="38"/>
      <c r="L687" s="7"/>
      <c r="N687" s="30"/>
      <c r="S687" s="30"/>
    </row>
    <row r="688" spans="2:19" ht="12.5">
      <c r="B688" s="38"/>
      <c r="L688" s="7"/>
      <c r="N688" s="30"/>
      <c r="S688" s="30"/>
    </row>
    <row r="689" spans="2:19" ht="12.5">
      <c r="B689" s="38"/>
      <c r="L689" s="7"/>
      <c r="N689" s="30"/>
      <c r="S689" s="30"/>
    </row>
    <row r="690" spans="2:19" ht="12.5">
      <c r="B690" s="38"/>
      <c r="L690" s="7"/>
      <c r="N690" s="30"/>
      <c r="S690" s="30"/>
    </row>
    <row r="691" spans="2:19" ht="12.5">
      <c r="B691" s="38"/>
      <c r="L691" s="7"/>
      <c r="N691" s="30"/>
      <c r="S691" s="30"/>
    </row>
    <row r="692" spans="2:19" ht="12.5">
      <c r="B692" s="38"/>
      <c r="L692" s="7"/>
      <c r="N692" s="30"/>
      <c r="S692" s="30"/>
    </row>
    <row r="693" spans="2:19" ht="12.5">
      <c r="B693" s="38"/>
      <c r="L693" s="7"/>
      <c r="N693" s="30"/>
      <c r="S693" s="30"/>
    </row>
    <row r="694" spans="2:19" ht="12.5">
      <c r="B694" s="38"/>
      <c r="L694" s="7"/>
      <c r="N694" s="30"/>
      <c r="S694" s="30"/>
    </row>
    <row r="695" spans="2:19" ht="12.5">
      <c r="B695" s="38"/>
      <c r="L695" s="7"/>
      <c r="N695" s="30"/>
      <c r="S695" s="30"/>
    </row>
    <row r="696" spans="2:19" ht="12.5">
      <c r="B696" s="38"/>
      <c r="L696" s="7"/>
      <c r="N696" s="30"/>
      <c r="S696" s="30"/>
    </row>
    <row r="697" spans="2:19" ht="12.5">
      <c r="B697" s="38"/>
      <c r="L697" s="7"/>
      <c r="N697" s="30"/>
      <c r="S697" s="30"/>
    </row>
    <row r="698" spans="2:19" ht="12.5">
      <c r="B698" s="38"/>
      <c r="L698" s="7"/>
      <c r="N698" s="30"/>
      <c r="S698" s="30"/>
    </row>
    <row r="699" spans="2:19" ht="12.5">
      <c r="B699" s="38"/>
      <c r="L699" s="7"/>
      <c r="N699" s="30"/>
      <c r="S699" s="30"/>
    </row>
    <row r="700" spans="2:19" ht="12.5">
      <c r="B700" s="38"/>
      <c r="L700" s="7"/>
      <c r="N700" s="30"/>
      <c r="S700" s="30"/>
    </row>
    <row r="701" spans="2:19" ht="12.5">
      <c r="B701" s="38"/>
      <c r="L701" s="7"/>
      <c r="N701" s="30"/>
      <c r="S701" s="30"/>
    </row>
    <row r="702" spans="2:19" ht="12.5">
      <c r="B702" s="38"/>
      <c r="L702" s="7"/>
      <c r="N702" s="30"/>
      <c r="S702" s="30"/>
    </row>
    <row r="703" spans="2:19" ht="12.5">
      <c r="B703" s="38"/>
      <c r="L703" s="7"/>
      <c r="N703" s="30"/>
      <c r="S703" s="30"/>
    </row>
    <row r="704" spans="2:19" ht="12.5">
      <c r="B704" s="38"/>
      <c r="L704" s="7"/>
      <c r="N704" s="30"/>
      <c r="S704" s="30"/>
    </row>
    <row r="705" spans="2:19" ht="12.5">
      <c r="B705" s="38"/>
      <c r="L705" s="7"/>
      <c r="N705" s="30"/>
      <c r="S705" s="30"/>
    </row>
    <row r="706" spans="2:19" ht="12.5">
      <c r="B706" s="38"/>
      <c r="L706" s="7"/>
      <c r="N706" s="30"/>
      <c r="S706" s="30"/>
    </row>
    <row r="707" spans="2:19" ht="12.5">
      <c r="B707" s="38"/>
      <c r="L707" s="7"/>
      <c r="N707" s="30"/>
      <c r="S707" s="30"/>
    </row>
    <row r="708" spans="2:19" ht="12.5">
      <c r="B708" s="38"/>
      <c r="L708" s="7"/>
      <c r="N708" s="30"/>
      <c r="S708" s="30"/>
    </row>
    <row r="709" spans="2:19" ht="12.5">
      <c r="B709" s="38"/>
      <c r="L709" s="7"/>
      <c r="N709" s="30"/>
      <c r="S709" s="30"/>
    </row>
    <row r="710" spans="2:19" ht="12.5">
      <c r="B710" s="38"/>
      <c r="L710" s="7"/>
      <c r="N710" s="30"/>
      <c r="S710" s="30"/>
    </row>
    <row r="711" spans="2:19" ht="12.5">
      <c r="B711" s="38"/>
      <c r="L711" s="7"/>
      <c r="N711" s="30"/>
      <c r="S711" s="30"/>
    </row>
    <row r="712" spans="2:19" ht="12.5">
      <c r="B712" s="38"/>
      <c r="L712" s="7"/>
      <c r="N712" s="30"/>
      <c r="S712" s="30"/>
    </row>
    <row r="713" spans="2:19" ht="12.5">
      <c r="B713" s="38"/>
      <c r="L713" s="7"/>
      <c r="N713" s="30"/>
      <c r="S713" s="30"/>
    </row>
    <row r="714" spans="2:19" ht="12.5">
      <c r="B714" s="38"/>
      <c r="L714" s="7"/>
      <c r="N714" s="30"/>
      <c r="S714" s="30"/>
    </row>
    <row r="715" spans="2:19" ht="12.5">
      <c r="B715" s="38"/>
      <c r="L715" s="7"/>
      <c r="N715" s="30"/>
      <c r="S715" s="30"/>
    </row>
    <row r="716" spans="2:19" ht="12.5">
      <c r="B716" s="38"/>
      <c r="L716" s="7"/>
      <c r="N716" s="30"/>
      <c r="S716" s="30"/>
    </row>
    <row r="717" spans="2:19" ht="12.5">
      <c r="B717" s="38"/>
      <c r="L717" s="7"/>
      <c r="N717" s="30"/>
      <c r="S717" s="30"/>
    </row>
    <row r="718" spans="2:19" ht="12.5">
      <c r="B718" s="38"/>
      <c r="L718" s="7"/>
      <c r="N718" s="30"/>
      <c r="S718" s="30"/>
    </row>
    <row r="719" spans="2:19" ht="12.5">
      <c r="B719" s="38"/>
      <c r="L719" s="7"/>
      <c r="N719" s="30"/>
      <c r="S719" s="30"/>
    </row>
    <row r="720" spans="2:19" ht="12.5">
      <c r="B720" s="38"/>
      <c r="L720" s="7"/>
      <c r="N720" s="30"/>
      <c r="S720" s="30"/>
    </row>
    <row r="721" spans="2:19" ht="12.5">
      <c r="B721" s="38"/>
      <c r="L721" s="7"/>
      <c r="N721" s="30"/>
      <c r="S721" s="30"/>
    </row>
    <row r="722" spans="2:19" ht="12.5">
      <c r="B722" s="38"/>
      <c r="L722" s="7"/>
      <c r="N722" s="30"/>
      <c r="S722" s="30"/>
    </row>
    <row r="723" spans="2:19" ht="12.5">
      <c r="B723" s="38"/>
      <c r="L723" s="7"/>
      <c r="N723" s="30"/>
      <c r="S723" s="30"/>
    </row>
    <row r="724" spans="2:19" ht="12.5">
      <c r="B724" s="38"/>
      <c r="L724" s="7"/>
      <c r="N724" s="30"/>
      <c r="S724" s="30"/>
    </row>
    <row r="725" spans="2:19" ht="12.5">
      <c r="B725" s="38"/>
      <c r="L725" s="7"/>
      <c r="N725" s="30"/>
      <c r="S725" s="30"/>
    </row>
    <row r="726" spans="2:19" ht="12.5">
      <c r="B726" s="38"/>
      <c r="L726" s="7"/>
      <c r="N726" s="30"/>
      <c r="S726" s="30"/>
    </row>
    <row r="727" spans="2:19" ht="12.5">
      <c r="B727" s="38"/>
      <c r="L727" s="7"/>
      <c r="N727" s="30"/>
      <c r="S727" s="30"/>
    </row>
    <row r="728" spans="2:19" ht="12.5">
      <c r="B728" s="38"/>
      <c r="L728" s="7"/>
      <c r="N728" s="30"/>
      <c r="S728" s="30"/>
    </row>
    <row r="729" spans="2:19" ht="12.5">
      <c r="B729" s="38"/>
      <c r="L729" s="7"/>
      <c r="N729" s="30"/>
      <c r="S729" s="30"/>
    </row>
    <row r="730" spans="2:19" ht="12.5">
      <c r="B730" s="38"/>
      <c r="L730" s="7"/>
      <c r="N730" s="30"/>
      <c r="S730" s="30"/>
    </row>
    <row r="731" spans="2:19" ht="12.5">
      <c r="B731" s="38"/>
      <c r="L731" s="7"/>
      <c r="N731" s="30"/>
      <c r="S731" s="30"/>
    </row>
    <row r="732" spans="2:19" ht="12.5">
      <c r="B732" s="38"/>
      <c r="L732" s="7"/>
      <c r="N732" s="30"/>
      <c r="S732" s="30"/>
    </row>
    <row r="733" spans="2:19" ht="12.5">
      <c r="B733" s="38"/>
      <c r="L733" s="7"/>
      <c r="N733" s="30"/>
      <c r="S733" s="30"/>
    </row>
    <row r="734" spans="2:19" ht="12.5">
      <c r="B734" s="38"/>
      <c r="L734" s="7"/>
      <c r="N734" s="30"/>
      <c r="S734" s="30"/>
    </row>
    <row r="735" spans="2:19" ht="12.5">
      <c r="B735" s="38"/>
      <c r="L735" s="7"/>
      <c r="N735" s="30"/>
      <c r="S735" s="30"/>
    </row>
    <row r="736" spans="2:19" ht="12.5">
      <c r="B736" s="38"/>
      <c r="L736" s="7"/>
      <c r="N736" s="30"/>
      <c r="S736" s="30"/>
    </row>
    <row r="737" spans="2:19" ht="12.5">
      <c r="B737" s="38"/>
      <c r="L737" s="7"/>
      <c r="N737" s="30"/>
      <c r="S737" s="30"/>
    </row>
    <row r="738" spans="2:19" ht="12.5">
      <c r="B738" s="38"/>
      <c r="L738" s="7"/>
      <c r="N738" s="30"/>
      <c r="S738" s="30"/>
    </row>
    <row r="739" spans="2:19" ht="12.5">
      <c r="B739" s="38"/>
      <c r="L739" s="7"/>
      <c r="N739" s="30"/>
      <c r="S739" s="30"/>
    </row>
    <row r="740" spans="2:19" ht="12.5">
      <c r="B740" s="38"/>
      <c r="L740" s="7"/>
      <c r="N740" s="30"/>
      <c r="S740" s="30"/>
    </row>
    <row r="741" spans="2:19" ht="12.5">
      <c r="B741" s="38"/>
      <c r="L741" s="7"/>
      <c r="N741" s="30"/>
      <c r="S741" s="30"/>
    </row>
    <row r="742" spans="2:19" ht="12.5">
      <c r="B742" s="38"/>
      <c r="L742" s="7"/>
      <c r="N742" s="30"/>
      <c r="S742" s="30"/>
    </row>
    <row r="743" spans="2:19" ht="12.5">
      <c r="B743" s="38"/>
      <c r="L743" s="7"/>
      <c r="N743" s="30"/>
      <c r="S743" s="30"/>
    </row>
    <row r="744" spans="2:19" ht="12.5">
      <c r="B744" s="38"/>
      <c r="L744" s="7"/>
      <c r="N744" s="30"/>
      <c r="S744" s="30"/>
    </row>
    <row r="745" spans="2:19" ht="12.5">
      <c r="B745" s="38"/>
      <c r="L745" s="7"/>
      <c r="N745" s="30"/>
      <c r="S745" s="30"/>
    </row>
    <row r="746" spans="2:19" ht="12.5">
      <c r="B746" s="38"/>
      <c r="L746" s="7"/>
      <c r="N746" s="30"/>
      <c r="S746" s="30"/>
    </row>
    <row r="747" spans="2:19" ht="12.5">
      <c r="B747" s="38"/>
      <c r="L747" s="7"/>
      <c r="N747" s="30"/>
      <c r="S747" s="30"/>
    </row>
    <row r="748" spans="2:19" ht="12.5">
      <c r="B748" s="38"/>
      <c r="L748" s="7"/>
      <c r="N748" s="30"/>
      <c r="S748" s="30"/>
    </row>
    <row r="749" spans="2:19" ht="12.5">
      <c r="B749" s="38"/>
      <c r="L749" s="7"/>
      <c r="N749" s="30"/>
      <c r="S749" s="30"/>
    </row>
    <row r="750" spans="2:19" ht="12.5">
      <c r="B750" s="38"/>
      <c r="L750" s="7"/>
      <c r="N750" s="30"/>
      <c r="S750" s="30"/>
    </row>
    <row r="751" spans="2:19" ht="12.5">
      <c r="B751" s="38"/>
      <c r="L751" s="7"/>
      <c r="N751" s="30"/>
      <c r="S751" s="30"/>
    </row>
    <row r="752" spans="2:19" ht="12.5">
      <c r="B752" s="38"/>
      <c r="L752" s="7"/>
      <c r="N752" s="30"/>
      <c r="S752" s="30"/>
    </row>
    <row r="753" spans="2:19" ht="12.5">
      <c r="B753" s="38"/>
      <c r="L753" s="7"/>
      <c r="N753" s="30"/>
      <c r="S753" s="30"/>
    </row>
    <row r="754" spans="2:19" ht="12.5">
      <c r="B754" s="38"/>
      <c r="L754" s="7"/>
      <c r="N754" s="30"/>
      <c r="S754" s="30"/>
    </row>
    <row r="755" spans="2:19" ht="12.5">
      <c r="B755" s="38"/>
      <c r="L755" s="7"/>
      <c r="N755" s="30"/>
      <c r="S755" s="30"/>
    </row>
    <row r="756" spans="2:19" ht="12.5">
      <c r="B756" s="38"/>
      <c r="L756" s="7"/>
      <c r="N756" s="30"/>
      <c r="S756" s="30"/>
    </row>
    <row r="757" spans="2:19" ht="12.5">
      <c r="B757" s="38"/>
      <c r="L757" s="7"/>
      <c r="N757" s="30"/>
      <c r="S757" s="30"/>
    </row>
    <row r="758" spans="2:19" ht="12.5">
      <c r="B758" s="38"/>
      <c r="L758" s="7"/>
      <c r="N758" s="30"/>
      <c r="S758" s="30"/>
    </row>
    <row r="759" spans="2:19" ht="12.5">
      <c r="B759" s="38"/>
      <c r="L759" s="7"/>
      <c r="N759" s="30"/>
      <c r="S759" s="30"/>
    </row>
    <row r="760" spans="2:19" ht="12.5">
      <c r="B760" s="38"/>
      <c r="L760" s="7"/>
      <c r="N760" s="30"/>
      <c r="S760" s="30"/>
    </row>
    <row r="761" spans="2:19" ht="12.5">
      <c r="B761" s="38"/>
      <c r="L761" s="7"/>
      <c r="N761" s="30"/>
      <c r="S761" s="30"/>
    </row>
    <row r="762" spans="2:19" ht="12.5">
      <c r="B762" s="38"/>
      <c r="L762" s="7"/>
      <c r="N762" s="30"/>
      <c r="S762" s="30"/>
    </row>
    <row r="763" spans="2:19" ht="12.5">
      <c r="B763" s="38"/>
      <c r="L763" s="7"/>
      <c r="N763" s="30"/>
      <c r="S763" s="30"/>
    </row>
    <row r="764" spans="2:19" ht="12.5">
      <c r="B764" s="38"/>
      <c r="L764" s="7"/>
      <c r="N764" s="30"/>
      <c r="S764" s="30"/>
    </row>
    <row r="765" spans="2:19" ht="12.5">
      <c r="B765" s="38"/>
      <c r="L765" s="7"/>
      <c r="N765" s="30"/>
      <c r="S765" s="30"/>
    </row>
    <row r="766" spans="2:19" ht="12.5">
      <c r="B766" s="38"/>
      <c r="L766" s="7"/>
      <c r="N766" s="30"/>
      <c r="S766" s="30"/>
    </row>
    <row r="767" spans="2:19" ht="12.5">
      <c r="B767" s="38"/>
      <c r="L767" s="7"/>
      <c r="N767" s="30"/>
      <c r="S767" s="30"/>
    </row>
    <row r="768" spans="2:19" ht="12.5">
      <c r="B768" s="38"/>
      <c r="L768" s="7"/>
      <c r="N768" s="30"/>
      <c r="S768" s="30"/>
    </row>
    <row r="769" spans="2:19" ht="12.5">
      <c r="B769" s="38"/>
      <c r="L769" s="7"/>
      <c r="N769" s="30"/>
      <c r="S769" s="30"/>
    </row>
    <row r="770" spans="2:19" ht="12.5">
      <c r="B770" s="38"/>
      <c r="L770" s="7"/>
      <c r="N770" s="30"/>
      <c r="S770" s="30"/>
    </row>
    <row r="771" spans="2:19" ht="12.5">
      <c r="B771" s="38"/>
      <c r="L771" s="7"/>
      <c r="N771" s="30"/>
      <c r="S771" s="30"/>
    </row>
    <row r="772" spans="2:19" ht="12.5">
      <c r="B772" s="38"/>
      <c r="L772" s="7"/>
      <c r="N772" s="30"/>
      <c r="S772" s="30"/>
    </row>
    <row r="773" spans="2:19" ht="12.5">
      <c r="B773" s="38"/>
      <c r="L773" s="7"/>
      <c r="N773" s="30"/>
      <c r="S773" s="30"/>
    </row>
    <row r="774" spans="2:19" ht="12.5">
      <c r="B774" s="38"/>
      <c r="L774" s="7"/>
      <c r="N774" s="30"/>
      <c r="S774" s="30"/>
    </row>
    <row r="775" spans="2:19" ht="12.5">
      <c r="B775" s="38"/>
      <c r="L775" s="7"/>
      <c r="N775" s="30"/>
      <c r="S775" s="30"/>
    </row>
    <row r="776" spans="2:19" ht="12.5">
      <c r="B776" s="38"/>
      <c r="L776" s="7"/>
      <c r="N776" s="30"/>
      <c r="S776" s="30"/>
    </row>
    <row r="777" spans="2:19" ht="12.5">
      <c r="B777" s="38"/>
      <c r="L777" s="7"/>
      <c r="N777" s="30"/>
      <c r="S777" s="30"/>
    </row>
    <row r="778" spans="2:19" ht="12.5">
      <c r="B778" s="38"/>
      <c r="L778" s="7"/>
      <c r="N778" s="30"/>
      <c r="S778" s="30"/>
    </row>
    <row r="779" spans="2:19" ht="12.5">
      <c r="B779" s="38"/>
      <c r="L779" s="7"/>
      <c r="N779" s="30"/>
      <c r="S779" s="30"/>
    </row>
    <row r="780" spans="2:19" ht="12.5">
      <c r="B780" s="38"/>
      <c r="L780" s="7"/>
      <c r="N780" s="30"/>
      <c r="S780" s="30"/>
    </row>
    <row r="781" spans="2:19" ht="12.5">
      <c r="B781" s="38"/>
      <c r="L781" s="7"/>
      <c r="N781" s="30"/>
      <c r="S781" s="30"/>
    </row>
    <row r="782" spans="2:19" ht="12.5">
      <c r="B782" s="38"/>
      <c r="L782" s="7"/>
      <c r="N782" s="30"/>
      <c r="S782" s="30"/>
    </row>
    <row r="783" spans="2:19" ht="12.5">
      <c r="B783" s="38"/>
      <c r="L783" s="7"/>
      <c r="N783" s="30"/>
      <c r="S783" s="30"/>
    </row>
    <row r="784" spans="2:19" ht="12.5">
      <c r="B784" s="38"/>
      <c r="L784" s="7"/>
      <c r="N784" s="30"/>
      <c r="S784" s="30"/>
    </row>
    <row r="785" spans="2:19" ht="12.5">
      <c r="B785" s="38"/>
      <c r="L785" s="7"/>
      <c r="N785" s="30"/>
      <c r="S785" s="30"/>
    </row>
    <row r="786" spans="2:19" ht="12.5">
      <c r="B786" s="38"/>
      <c r="L786" s="7"/>
      <c r="N786" s="30"/>
      <c r="S786" s="30"/>
    </row>
    <row r="787" spans="2:19" ht="12.5">
      <c r="B787" s="38"/>
      <c r="L787" s="7"/>
      <c r="N787" s="30"/>
      <c r="S787" s="30"/>
    </row>
    <row r="788" spans="2:19" ht="12.5">
      <c r="B788" s="38"/>
      <c r="L788" s="7"/>
      <c r="N788" s="30"/>
      <c r="S788" s="30"/>
    </row>
    <row r="789" spans="2:19" ht="12.5">
      <c r="B789" s="38"/>
      <c r="L789" s="7"/>
      <c r="N789" s="30"/>
      <c r="S789" s="30"/>
    </row>
    <row r="790" spans="2:19" ht="12.5">
      <c r="B790" s="38"/>
      <c r="L790" s="7"/>
      <c r="N790" s="30"/>
      <c r="S790" s="30"/>
    </row>
    <row r="791" spans="2:19" ht="12.5">
      <c r="B791" s="38"/>
      <c r="L791" s="7"/>
      <c r="N791" s="30"/>
      <c r="S791" s="30"/>
    </row>
    <row r="792" spans="2:19" ht="12.5">
      <c r="B792" s="38"/>
      <c r="L792" s="7"/>
      <c r="N792" s="30"/>
      <c r="S792" s="30"/>
    </row>
    <row r="793" spans="2:19" ht="12.5">
      <c r="B793" s="38"/>
      <c r="L793" s="7"/>
      <c r="N793" s="30"/>
      <c r="S793" s="30"/>
    </row>
    <row r="794" spans="2:19" ht="12.5">
      <c r="B794" s="38"/>
      <c r="L794" s="7"/>
      <c r="N794" s="30"/>
      <c r="S794" s="30"/>
    </row>
    <row r="795" spans="2:19" ht="12.5">
      <c r="B795" s="38"/>
      <c r="L795" s="7"/>
      <c r="N795" s="30"/>
      <c r="S795" s="30"/>
    </row>
    <row r="796" spans="2:19" ht="12.5">
      <c r="B796" s="38"/>
      <c r="L796" s="7"/>
      <c r="N796" s="30"/>
      <c r="S796" s="30"/>
    </row>
    <row r="797" spans="2:19" ht="12.5">
      <c r="B797" s="38"/>
      <c r="L797" s="7"/>
      <c r="N797" s="30"/>
      <c r="S797" s="30"/>
    </row>
    <row r="798" spans="2:19" ht="12.5">
      <c r="B798" s="38"/>
      <c r="L798" s="7"/>
      <c r="N798" s="30"/>
      <c r="S798" s="30"/>
    </row>
    <row r="799" spans="2:19" ht="12.5">
      <c r="B799" s="38"/>
      <c r="L799" s="7"/>
      <c r="N799" s="30"/>
      <c r="S799" s="30"/>
    </row>
    <row r="800" spans="2:19" ht="12.5">
      <c r="B800" s="38"/>
      <c r="L800" s="7"/>
      <c r="N800" s="30"/>
      <c r="S800" s="30"/>
    </row>
    <row r="801" spans="2:19" ht="12.5">
      <c r="B801" s="38"/>
      <c r="L801" s="7"/>
      <c r="N801" s="30"/>
      <c r="S801" s="30"/>
    </row>
    <row r="802" spans="2:19" ht="12.5">
      <c r="B802" s="38"/>
      <c r="L802" s="7"/>
      <c r="N802" s="30"/>
      <c r="S802" s="30"/>
    </row>
    <row r="803" spans="2:19" ht="12.5">
      <c r="B803" s="38"/>
      <c r="L803" s="7"/>
      <c r="N803" s="30"/>
      <c r="S803" s="30"/>
    </row>
    <row r="804" spans="2:19" ht="12.5">
      <c r="B804" s="38"/>
      <c r="L804" s="7"/>
      <c r="N804" s="30"/>
      <c r="S804" s="30"/>
    </row>
    <row r="805" spans="2:19" ht="12.5">
      <c r="B805" s="38"/>
      <c r="L805" s="7"/>
      <c r="N805" s="30"/>
      <c r="S805" s="30"/>
    </row>
    <row r="806" spans="2:19" ht="12.5">
      <c r="B806" s="38"/>
      <c r="L806" s="7"/>
      <c r="N806" s="30"/>
      <c r="S806" s="30"/>
    </row>
    <row r="807" spans="2:19" ht="12.5">
      <c r="B807" s="38"/>
      <c r="L807" s="7"/>
      <c r="N807" s="30"/>
      <c r="S807" s="30"/>
    </row>
    <row r="808" spans="2:19" ht="12.5">
      <c r="B808" s="38"/>
      <c r="L808" s="7"/>
      <c r="N808" s="30"/>
      <c r="S808" s="30"/>
    </row>
    <row r="809" spans="2:19" ht="12.5">
      <c r="B809" s="38"/>
      <c r="L809" s="7"/>
      <c r="N809" s="30"/>
      <c r="S809" s="30"/>
    </row>
    <row r="810" spans="2:19" ht="12.5">
      <c r="B810" s="38"/>
      <c r="L810" s="7"/>
      <c r="N810" s="30"/>
      <c r="S810" s="30"/>
    </row>
    <row r="811" spans="2:19" ht="12.5">
      <c r="B811" s="38"/>
      <c r="L811" s="7"/>
      <c r="N811" s="30"/>
      <c r="S811" s="30"/>
    </row>
    <row r="812" spans="2:19" ht="12.5">
      <c r="B812" s="38"/>
      <c r="L812" s="7"/>
      <c r="N812" s="30"/>
      <c r="S812" s="30"/>
    </row>
    <row r="813" spans="2:19" ht="12.5">
      <c r="B813" s="38"/>
      <c r="L813" s="7"/>
      <c r="N813" s="30"/>
      <c r="S813" s="30"/>
    </row>
    <row r="814" spans="2:19" ht="12.5">
      <c r="B814" s="38"/>
      <c r="L814" s="7"/>
      <c r="N814" s="30"/>
      <c r="S814" s="30"/>
    </row>
    <row r="815" spans="2:19" ht="12.5">
      <c r="B815" s="38"/>
      <c r="L815" s="7"/>
      <c r="N815" s="30"/>
      <c r="S815" s="30"/>
    </row>
    <row r="816" spans="2:19" ht="12.5">
      <c r="B816" s="38"/>
      <c r="L816" s="7"/>
      <c r="N816" s="30"/>
      <c r="S816" s="30"/>
    </row>
    <row r="817" spans="2:19" ht="12.5">
      <c r="B817" s="38"/>
      <c r="L817" s="7"/>
      <c r="N817" s="30"/>
      <c r="S817" s="30"/>
    </row>
    <row r="818" spans="2:19" ht="12.5">
      <c r="B818" s="38"/>
      <c r="L818" s="7"/>
      <c r="N818" s="30"/>
      <c r="S818" s="30"/>
    </row>
    <row r="819" spans="2:19" ht="12.5">
      <c r="B819" s="38"/>
      <c r="L819" s="7"/>
      <c r="N819" s="30"/>
      <c r="S819" s="30"/>
    </row>
    <row r="820" spans="2:19" ht="12.5">
      <c r="B820" s="38"/>
      <c r="L820" s="7"/>
      <c r="N820" s="30"/>
      <c r="S820" s="30"/>
    </row>
    <row r="821" spans="2:19" ht="12.5">
      <c r="B821" s="38"/>
      <c r="L821" s="7"/>
      <c r="N821" s="30"/>
      <c r="S821" s="30"/>
    </row>
    <row r="822" spans="2:19" ht="12.5">
      <c r="B822" s="38"/>
      <c r="L822" s="7"/>
      <c r="N822" s="30"/>
      <c r="S822" s="30"/>
    </row>
    <row r="823" spans="2:19" ht="12.5">
      <c r="B823" s="38"/>
      <c r="L823" s="7"/>
      <c r="N823" s="30"/>
      <c r="S823" s="30"/>
    </row>
    <row r="824" spans="2:19" ht="12.5">
      <c r="B824" s="38"/>
      <c r="L824" s="7"/>
      <c r="N824" s="30"/>
      <c r="S824" s="30"/>
    </row>
    <row r="825" spans="2:19" ht="12.5">
      <c r="B825" s="38"/>
      <c r="L825" s="7"/>
      <c r="N825" s="30"/>
      <c r="S825" s="30"/>
    </row>
    <row r="826" spans="2:19" ht="12.5">
      <c r="B826" s="38"/>
      <c r="L826" s="7"/>
      <c r="N826" s="30"/>
      <c r="S826" s="30"/>
    </row>
    <row r="827" spans="2:19" ht="12.5">
      <c r="B827" s="38"/>
      <c r="L827" s="7"/>
      <c r="N827" s="30"/>
      <c r="S827" s="30"/>
    </row>
    <row r="828" spans="2:19" ht="12.5">
      <c r="B828" s="38"/>
      <c r="L828" s="7"/>
      <c r="N828" s="30"/>
      <c r="S828" s="30"/>
    </row>
    <row r="829" spans="2:19" ht="12.5">
      <c r="B829" s="38"/>
      <c r="L829" s="7"/>
      <c r="N829" s="30"/>
      <c r="S829" s="30"/>
    </row>
    <row r="830" spans="2:19" ht="12.5">
      <c r="B830" s="38"/>
      <c r="L830" s="7"/>
      <c r="N830" s="30"/>
      <c r="S830" s="30"/>
    </row>
    <row r="831" spans="2:19" ht="12.5">
      <c r="B831" s="38"/>
      <c r="L831" s="7"/>
      <c r="N831" s="30"/>
      <c r="S831" s="30"/>
    </row>
    <row r="832" spans="2:19" ht="12.5">
      <c r="B832" s="38"/>
      <c r="L832" s="7"/>
      <c r="N832" s="30"/>
      <c r="S832" s="30"/>
    </row>
    <row r="833" spans="2:19" ht="12.5">
      <c r="B833" s="38"/>
      <c r="L833" s="7"/>
      <c r="N833" s="30"/>
      <c r="S833" s="30"/>
    </row>
    <row r="834" spans="2:19" ht="12.5">
      <c r="B834" s="38"/>
      <c r="L834" s="7"/>
      <c r="N834" s="30"/>
      <c r="S834" s="30"/>
    </row>
    <row r="835" spans="2:19" ht="12.5">
      <c r="B835" s="38"/>
      <c r="L835" s="7"/>
      <c r="N835" s="30"/>
      <c r="S835" s="30"/>
    </row>
    <row r="836" spans="2:19" ht="12.5">
      <c r="B836" s="38"/>
      <c r="L836" s="7"/>
      <c r="N836" s="30"/>
      <c r="S836" s="30"/>
    </row>
    <row r="837" spans="2:19" ht="12.5">
      <c r="B837" s="38"/>
      <c r="L837" s="7"/>
      <c r="N837" s="30"/>
      <c r="S837" s="30"/>
    </row>
    <row r="838" spans="2:19" ht="12.5">
      <c r="B838" s="38"/>
      <c r="L838" s="7"/>
      <c r="N838" s="30"/>
      <c r="S838" s="30"/>
    </row>
    <row r="839" spans="2:19" ht="12.5">
      <c r="B839" s="38"/>
      <c r="L839" s="7"/>
      <c r="N839" s="30"/>
      <c r="S839" s="30"/>
    </row>
    <row r="840" spans="2:19" ht="12.5">
      <c r="B840" s="38"/>
      <c r="L840" s="7"/>
      <c r="N840" s="30"/>
      <c r="S840" s="30"/>
    </row>
    <row r="841" spans="2:19" ht="12.5">
      <c r="B841" s="38"/>
      <c r="L841" s="7"/>
      <c r="N841" s="30"/>
      <c r="S841" s="30"/>
    </row>
    <row r="842" spans="2:19" ht="12.5">
      <c r="B842" s="38"/>
      <c r="L842" s="7"/>
      <c r="N842" s="30"/>
      <c r="S842" s="30"/>
    </row>
    <row r="843" spans="2:19" ht="12.5">
      <c r="B843" s="38"/>
      <c r="L843" s="7"/>
      <c r="N843" s="30"/>
      <c r="S843" s="30"/>
    </row>
    <row r="844" spans="2:19" ht="12.5">
      <c r="B844" s="38"/>
      <c r="L844" s="7"/>
      <c r="N844" s="30"/>
      <c r="S844" s="30"/>
    </row>
    <row r="845" spans="2:19" ht="12.5">
      <c r="B845" s="38"/>
      <c r="L845" s="7"/>
      <c r="N845" s="30"/>
      <c r="S845" s="30"/>
    </row>
    <row r="846" spans="2:19" ht="12.5">
      <c r="B846" s="38"/>
      <c r="L846" s="7"/>
      <c r="N846" s="30"/>
      <c r="S846" s="30"/>
    </row>
    <row r="847" spans="2:19" ht="12.5">
      <c r="B847" s="38"/>
      <c r="L847" s="7"/>
      <c r="N847" s="30"/>
      <c r="S847" s="30"/>
    </row>
    <row r="848" spans="2:19" ht="12.5">
      <c r="B848" s="38"/>
      <c r="L848" s="7"/>
      <c r="N848" s="30"/>
      <c r="S848" s="30"/>
    </row>
    <row r="849" spans="2:19" ht="12.5">
      <c r="B849" s="38"/>
      <c r="L849" s="7"/>
      <c r="N849" s="30"/>
      <c r="S849" s="30"/>
    </row>
    <row r="850" spans="2:19" ht="12.5">
      <c r="B850" s="38"/>
      <c r="L850" s="7"/>
      <c r="N850" s="30"/>
      <c r="S850" s="30"/>
    </row>
    <row r="851" spans="2:19" ht="12.5">
      <c r="B851" s="38"/>
      <c r="L851" s="7"/>
      <c r="N851" s="30"/>
      <c r="S851" s="30"/>
    </row>
    <row r="852" spans="2:19" ht="12.5">
      <c r="B852" s="38"/>
      <c r="L852" s="7"/>
      <c r="N852" s="30"/>
      <c r="S852" s="30"/>
    </row>
    <row r="853" spans="2:19" ht="12.5">
      <c r="B853" s="38"/>
      <c r="L853" s="7"/>
      <c r="N853" s="30"/>
      <c r="S853" s="30"/>
    </row>
    <row r="854" spans="2:19" ht="12.5">
      <c r="B854" s="38"/>
      <c r="L854" s="7"/>
      <c r="N854" s="30"/>
      <c r="S854" s="30"/>
    </row>
    <row r="855" spans="2:19" ht="12.5">
      <c r="B855" s="38"/>
      <c r="L855" s="7"/>
      <c r="N855" s="30"/>
      <c r="S855" s="30"/>
    </row>
    <row r="856" spans="2:19" ht="12.5">
      <c r="B856" s="38"/>
      <c r="L856" s="7"/>
      <c r="N856" s="30"/>
      <c r="S856" s="30"/>
    </row>
    <row r="857" spans="2:19" ht="12.5">
      <c r="B857" s="38"/>
      <c r="L857" s="7"/>
      <c r="N857" s="30"/>
      <c r="S857" s="30"/>
    </row>
    <row r="858" spans="2:19" ht="12.5">
      <c r="B858" s="38"/>
      <c r="L858" s="7"/>
      <c r="N858" s="30"/>
      <c r="S858" s="30"/>
    </row>
    <row r="859" spans="2:19" ht="12.5">
      <c r="B859" s="38"/>
      <c r="L859" s="7"/>
      <c r="N859" s="30"/>
      <c r="S859" s="30"/>
    </row>
    <row r="860" spans="2:19" ht="12.5">
      <c r="B860" s="38"/>
      <c r="L860" s="7"/>
      <c r="N860" s="30"/>
      <c r="S860" s="30"/>
    </row>
    <row r="861" spans="2:19" ht="12.5">
      <c r="B861" s="38"/>
      <c r="L861" s="7"/>
      <c r="N861" s="30"/>
      <c r="S861" s="30"/>
    </row>
    <row r="862" spans="2:19" ht="12.5">
      <c r="B862" s="38"/>
      <c r="L862" s="7"/>
      <c r="N862" s="30"/>
      <c r="S862" s="30"/>
    </row>
    <row r="863" spans="2:19" ht="12.5">
      <c r="B863" s="38"/>
      <c r="L863" s="7"/>
      <c r="N863" s="30"/>
      <c r="S863" s="30"/>
    </row>
    <row r="864" spans="2:19" ht="12.5">
      <c r="B864" s="38"/>
      <c r="L864" s="7"/>
      <c r="N864" s="30"/>
      <c r="S864" s="30"/>
    </row>
    <row r="865" spans="2:19" ht="12.5">
      <c r="B865" s="38"/>
      <c r="L865" s="7"/>
      <c r="N865" s="30"/>
      <c r="S865" s="30"/>
    </row>
    <row r="866" spans="2:19" ht="12.5">
      <c r="B866" s="38"/>
      <c r="L866" s="7"/>
      <c r="N866" s="30"/>
      <c r="S866" s="30"/>
    </row>
    <row r="867" spans="2:19" ht="12.5">
      <c r="B867" s="38"/>
      <c r="L867" s="7"/>
      <c r="N867" s="30"/>
      <c r="S867" s="30"/>
    </row>
    <row r="868" spans="2:19" ht="12.5">
      <c r="B868" s="38"/>
      <c r="L868" s="7"/>
      <c r="N868" s="30"/>
      <c r="S868" s="30"/>
    </row>
    <row r="869" spans="2:19" ht="12.5">
      <c r="B869" s="38"/>
      <c r="L869" s="7"/>
      <c r="N869" s="30"/>
      <c r="S869" s="30"/>
    </row>
    <row r="870" spans="2:19" ht="12.5">
      <c r="B870" s="38"/>
      <c r="L870" s="7"/>
      <c r="N870" s="30"/>
      <c r="S870" s="30"/>
    </row>
    <row r="871" spans="2:19" ht="12.5">
      <c r="B871" s="38"/>
      <c r="L871" s="7"/>
      <c r="N871" s="30"/>
      <c r="S871" s="30"/>
    </row>
    <row r="872" spans="2:19" ht="12.5">
      <c r="B872" s="38"/>
      <c r="L872" s="7"/>
      <c r="N872" s="30"/>
      <c r="S872" s="30"/>
    </row>
    <row r="873" spans="2:19" ht="12.5">
      <c r="B873" s="38"/>
      <c r="L873" s="7"/>
      <c r="N873" s="30"/>
      <c r="S873" s="30"/>
    </row>
    <row r="874" spans="2:19" ht="12.5">
      <c r="B874" s="38"/>
      <c r="L874" s="7"/>
      <c r="N874" s="30"/>
      <c r="S874" s="30"/>
    </row>
    <row r="875" spans="2:19" ht="12.5">
      <c r="B875" s="38"/>
      <c r="L875" s="7"/>
      <c r="N875" s="30"/>
      <c r="S875" s="30"/>
    </row>
    <row r="876" spans="2:19" ht="12.5">
      <c r="B876" s="38"/>
      <c r="L876" s="7"/>
      <c r="N876" s="30"/>
      <c r="S876" s="30"/>
    </row>
    <row r="877" spans="2:19" ht="12.5">
      <c r="B877" s="38"/>
      <c r="L877" s="7"/>
      <c r="N877" s="30"/>
      <c r="S877" s="30"/>
    </row>
    <row r="878" spans="2:19" ht="12.5">
      <c r="B878" s="38"/>
      <c r="L878" s="7"/>
      <c r="N878" s="30"/>
      <c r="S878" s="30"/>
    </row>
    <row r="879" spans="2:19" ht="12.5">
      <c r="B879" s="38"/>
      <c r="L879" s="7"/>
      <c r="N879" s="30"/>
      <c r="S879" s="30"/>
    </row>
    <row r="880" spans="2:19" ht="12.5">
      <c r="B880" s="38"/>
      <c r="L880" s="7"/>
      <c r="N880" s="30"/>
      <c r="S880" s="30"/>
    </row>
    <row r="881" spans="2:19" ht="12.5">
      <c r="B881" s="38"/>
      <c r="L881" s="7"/>
      <c r="N881" s="30"/>
      <c r="S881" s="30"/>
    </row>
    <row r="882" spans="2:19" ht="12.5">
      <c r="B882" s="38"/>
      <c r="L882" s="7"/>
      <c r="N882" s="30"/>
      <c r="S882" s="30"/>
    </row>
    <row r="883" spans="2:19" ht="12.5">
      <c r="B883" s="38"/>
      <c r="L883" s="7"/>
      <c r="N883" s="30"/>
      <c r="S883" s="30"/>
    </row>
    <row r="884" spans="2:19" ht="12.5">
      <c r="B884" s="38"/>
      <c r="L884" s="7"/>
      <c r="N884" s="30"/>
      <c r="S884" s="30"/>
    </row>
    <row r="885" spans="2:19" ht="12.5">
      <c r="B885" s="38"/>
      <c r="L885" s="7"/>
      <c r="N885" s="30"/>
      <c r="S885" s="30"/>
    </row>
    <row r="886" spans="2:19" ht="12.5">
      <c r="B886" s="38"/>
      <c r="L886" s="7"/>
      <c r="N886" s="30"/>
      <c r="S886" s="30"/>
    </row>
    <row r="887" spans="2:19" ht="12.5">
      <c r="B887" s="38"/>
      <c r="L887" s="7"/>
      <c r="N887" s="30"/>
      <c r="S887" s="30"/>
    </row>
    <row r="888" spans="2:19" ht="12.5">
      <c r="B888" s="38"/>
      <c r="L888" s="7"/>
      <c r="N888" s="30"/>
      <c r="S888" s="30"/>
    </row>
    <row r="889" spans="2:19" ht="12.5">
      <c r="B889" s="38"/>
      <c r="L889" s="7"/>
      <c r="N889" s="30"/>
      <c r="S889" s="30"/>
    </row>
    <row r="890" spans="2:19" ht="12.5">
      <c r="B890" s="38"/>
      <c r="L890" s="7"/>
      <c r="N890" s="30"/>
      <c r="S890" s="30"/>
    </row>
    <row r="891" spans="2:19" ht="12.5">
      <c r="B891" s="38"/>
      <c r="L891" s="7"/>
      <c r="N891" s="30"/>
      <c r="S891" s="30"/>
    </row>
    <row r="892" spans="2:19" ht="12.5">
      <c r="B892" s="38"/>
      <c r="L892" s="7"/>
      <c r="N892" s="30"/>
      <c r="S892" s="30"/>
    </row>
    <row r="893" spans="2:19" ht="12.5">
      <c r="B893" s="38"/>
      <c r="L893" s="7"/>
      <c r="N893" s="30"/>
      <c r="S893" s="30"/>
    </row>
    <row r="894" spans="2:19" ht="12.5">
      <c r="B894" s="38"/>
      <c r="L894" s="7"/>
      <c r="N894" s="30"/>
      <c r="S894" s="30"/>
    </row>
    <row r="895" spans="2:19" ht="12.5">
      <c r="B895" s="38"/>
      <c r="L895" s="7"/>
      <c r="N895" s="30"/>
      <c r="S895" s="30"/>
    </row>
    <row r="896" spans="2:19" ht="12.5">
      <c r="B896" s="38"/>
      <c r="L896" s="7"/>
      <c r="N896" s="30"/>
      <c r="S896" s="30"/>
    </row>
    <row r="897" spans="2:19" ht="12.5">
      <c r="B897" s="38"/>
      <c r="L897" s="7"/>
      <c r="N897" s="30"/>
      <c r="S897" s="30"/>
    </row>
    <row r="898" spans="2:19" ht="12.5">
      <c r="B898" s="38"/>
      <c r="L898" s="7"/>
      <c r="N898" s="30"/>
      <c r="S898" s="30"/>
    </row>
    <row r="899" spans="2:19" ht="12.5">
      <c r="B899" s="38"/>
      <c r="L899" s="7"/>
      <c r="N899" s="30"/>
      <c r="S899" s="30"/>
    </row>
    <row r="900" spans="2:19" ht="12.5">
      <c r="B900" s="38"/>
      <c r="L900" s="7"/>
      <c r="N900" s="30"/>
      <c r="S900" s="30"/>
    </row>
    <row r="901" spans="2:19" ht="12.5">
      <c r="B901" s="38"/>
      <c r="L901" s="7"/>
      <c r="N901" s="30"/>
      <c r="S901" s="30"/>
    </row>
    <row r="902" spans="2:19" ht="12.5">
      <c r="B902" s="38"/>
      <c r="L902" s="7"/>
      <c r="N902" s="30"/>
      <c r="S902" s="30"/>
    </row>
    <row r="903" spans="2:19" ht="12.5">
      <c r="B903" s="38"/>
      <c r="L903" s="7"/>
      <c r="N903" s="30"/>
      <c r="S903" s="30"/>
    </row>
    <row r="904" spans="2:19" ht="12.5">
      <c r="B904" s="38"/>
      <c r="L904" s="7"/>
      <c r="N904" s="30"/>
      <c r="S904" s="30"/>
    </row>
    <row r="905" spans="2:19" ht="12.5">
      <c r="B905" s="38"/>
      <c r="L905" s="7"/>
      <c r="N905" s="30"/>
      <c r="S905" s="30"/>
    </row>
    <row r="906" spans="2:19" ht="12.5">
      <c r="B906" s="38"/>
      <c r="L906" s="7"/>
      <c r="N906" s="30"/>
      <c r="S906" s="30"/>
    </row>
    <row r="907" spans="2:19" ht="12.5">
      <c r="B907" s="38"/>
      <c r="L907" s="7"/>
      <c r="N907" s="30"/>
      <c r="S907" s="30"/>
    </row>
    <row r="908" spans="2:19" ht="12.5">
      <c r="B908" s="38"/>
      <c r="L908" s="7"/>
      <c r="N908" s="30"/>
      <c r="S908" s="30"/>
    </row>
    <row r="909" spans="2:19" ht="12.5">
      <c r="B909" s="38"/>
      <c r="L909" s="7"/>
      <c r="N909" s="30"/>
      <c r="S909" s="30"/>
    </row>
    <row r="910" spans="2:19" ht="12.5">
      <c r="B910" s="38"/>
      <c r="L910" s="7"/>
      <c r="N910" s="30"/>
      <c r="S910" s="30"/>
    </row>
    <row r="911" spans="2:19" ht="12.5">
      <c r="B911" s="38"/>
      <c r="L911" s="7"/>
      <c r="N911" s="30"/>
      <c r="S911" s="30"/>
    </row>
    <row r="912" spans="2:19" ht="12.5">
      <c r="B912" s="38"/>
      <c r="L912" s="7"/>
      <c r="N912" s="30"/>
      <c r="S912" s="30"/>
    </row>
    <row r="913" spans="2:19" ht="12.5">
      <c r="B913" s="38"/>
      <c r="L913" s="7"/>
      <c r="N913" s="30"/>
      <c r="S913" s="30"/>
    </row>
    <row r="914" spans="2:19" ht="12.5">
      <c r="B914" s="38"/>
      <c r="L914" s="7"/>
      <c r="N914" s="30"/>
      <c r="S914" s="30"/>
    </row>
    <row r="915" spans="2:19" ht="12.5">
      <c r="B915" s="38"/>
      <c r="L915" s="7"/>
      <c r="N915" s="30"/>
      <c r="S915" s="30"/>
    </row>
    <row r="916" spans="2:19" ht="12.5">
      <c r="B916" s="38"/>
      <c r="L916" s="7"/>
      <c r="N916" s="30"/>
      <c r="S916" s="30"/>
    </row>
    <row r="917" spans="2:19" ht="12.5">
      <c r="B917" s="38"/>
      <c r="L917" s="7"/>
      <c r="N917" s="30"/>
      <c r="S917" s="30"/>
    </row>
    <row r="918" spans="2:19" ht="12.5">
      <c r="B918" s="38"/>
      <c r="L918" s="7"/>
      <c r="N918" s="30"/>
      <c r="S918" s="30"/>
    </row>
    <row r="919" spans="2:19" ht="12.5">
      <c r="B919" s="38"/>
      <c r="L919" s="7"/>
      <c r="N919" s="30"/>
      <c r="S919" s="30"/>
    </row>
    <row r="920" spans="2:19" ht="12.5">
      <c r="B920" s="38"/>
      <c r="L920" s="7"/>
      <c r="N920" s="30"/>
      <c r="S920" s="30"/>
    </row>
    <row r="921" spans="2:19" ht="12.5">
      <c r="B921" s="38"/>
      <c r="L921" s="7"/>
      <c r="N921" s="30"/>
      <c r="S921" s="30"/>
    </row>
    <row r="922" spans="2:19" ht="12.5">
      <c r="B922" s="38"/>
      <c r="L922" s="7"/>
      <c r="N922" s="30"/>
      <c r="S922" s="30"/>
    </row>
    <row r="923" spans="2:19" ht="12.5">
      <c r="B923" s="38"/>
      <c r="L923" s="7"/>
      <c r="N923" s="30"/>
      <c r="S923" s="30"/>
    </row>
    <row r="924" spans="2:19" ht="12.5">
      <c r="B924" s="38"/>
      <c r="L924" s="7"/>
      <c r="N924" s="30"/>
      <c r="S924" s="30"/>
    </row>
    <row r="925" spans="2:19" ht="12.5">
      <c r="B925" s="38"/>
      <c r="L925" s="7"/>
      <c r="N925" s="30"/>
      <c r="S925" s="30"/>
    </row>
    <row r="926" spans="2:19" ht="12.5">
      <c r="B926" s="38"/>
      <c r="L926" s="7"/>
      <c r="N926" s="30"/>
      <c r="S926" s="30"/>
    </row>
    <row r="927" spans="2:19" ht="12.5">
      <c r="B927" s="38"/>
      <c r="L927" s="7"/>
      <c r="N927" s="30"/>
      <c r="S927" s="30"/>
    </row>
    <row r="928" spans="2:19" ht="12.5">
      <c r="B928" s="38"/>
      <c r="L928" s="7"/>
      <c r="N928" s="30"/>
      <c r="S928" s="30"/>
    </row>
    <row r="929" spans="2:19" ht="12.5">
      <c r="B929" s="38"/>
      <c r="L929" s="7"/>
      <c r="N929" s="30"/>
      <c r="S929" s="30"/>
    </row>
    <row r="930" spans="2:19" ht="12.5">
      <c r="B930" s="38"/>
      <c r="L930" s="7"/>
      <c r="N930" s="30"/>
      <c r="S930" s="30"/>
    </row>
    <row r="931" spans="2:19" ht="12.5">
      <c r="B931" s="38"/>
      <c r="L931" s="7"/>
      <c r="N931" s="30"/>
      <c r="S931" s="30"/>
    </row>
    <row r="932" spans="2:19" ht="12.5">
      <c r="B932" s="38"/>
      <c r="L932" s="7"/>
      <c r="N932" s="30"/>
      <c r="S932" s="30"/>
    </row>
    <row r="933" spans="2:19" ht="12.5">
      <c r="B933" s="38"/>
      <c r="L933" s="7"/>
      <c r="N933" s="30"/>
      <c r="S933" s="30"/>
    </row>
    <row r="934" spans="2:19" ht="12.5">
      <c r="B934" s="38"/>
      <c r="L934" s="7"/>
      <c r="N934" s="30"/>
      <c r="S934" s="30"/>
    </row>
    <row r="935" spans="2:19" ht="12.5">
      <c r="B935" s="38"/>
      <c r="L935" s="7"/>
      <c r="N935" s="30"/>
      <c r="S935" s="30"/>
    </row>
    <row r="936" spans="2:19" ht="12.5">
      <c r="B936" s="38"/>
      <c r="L936" s="7"/>
      <c r="N936" s="30"/>
      <c r="S936" s="30"/>
    </row>
    <row r="937" spans="2:19" ht="12.5">
      <c r="B937" s="38"/>
      <c r="L937" s="7"/>
      <c r="N937" s="30"/>
      <c r="S937" s="30"/>
    </row>
    <row r="938" spans="2:19" ht="12.5">
      <c r="B938" s="38"/>
      <c r="L938" s="7"/>
      <c r="N938" s="30"/>
      <c r="S938" s="30"/>
    </row>
    <row r="939" spans="2:19" ht="12.5">
      <c r="B939" s="38"/>
      <c r="L939" s="7"/>
      <c r="N939" s="30"/>
      <c r="S939" s="30"/>
    </row>
    <row r="940" spans="2:19" ht="12.5">
      <c r="B940" s="38"/>
      <c r="L940" s="7"/>
      <c r="N940" s="30"/>
      <c r="S940" s="30"/>
    </row>
    <row r="941" spans="2:19" ht="12.5">
      <c r="B941" s="38"/>
      <c r="L941" s="7"/>
      <c r="N941" s="30"/>
      <c r="S941" s="30"/>
    </row>
    <row r="942" spans="2:19" ht="12.5">
      <c r="B942" s="38"/>
      <c r="L942" s="7"/>
      <c r="N942" s="30"/>
      <c r="S942" s="30"/>
    </row>
    <row r="943" spans="2:19" ht="12.5">
      <c r="B943" s="38"/>
      <c r="L943" s="7"/>
      <c r="N943" s="30"/>
      <c r="S943" s="30"/>
    </row>
    <row r="944" spans="2:19" ht="12.5">
      <c r="B944" s="38"/>
      <c r="L944" s="7"/>
      <c r="N944" s="30"/>
      <c r="S944" s="30"/>
    </row>
    <row r="945" spans="2:19" ht="12.5">
      <c r="B945" s="38"/>
      <c r="L945" s="7"/>
      <c r="N945" s="30"/>
      <c r="S945" s="30"/>
    </row>
    <row r="946" spans="2:19" ht="12.5">
      <c r="B946" s="38"/>
      <c r="L946" s="7"/>
      <c r="N946" s="30"/>
      <c r="S946" s="30"/>
    </row>
    <row r="947" spans="2:19" ht="12.5">
      <c r="B947" s="38"/>
      <c r="L947" s="7"/>
      <c r="N947" s="30"/>
      <c r="S947" s="30"/>
    </row>
    <row r="948" spans="2:19" ht="12.5">
      <c r="B948" s="38"/>
      <c r="L948" s="7"/>
      <c r="N948" s="30"/>
      <c r="S948" s="30"/>
    </row>
    <row r="949" spans="2:19" ht="12.5">
      <c r="B949" s="38"/>
      <c r="L949" s="7"/>
      <c r="N949" s="30"/>
      <c r="S949" s="30"/>
    </row>
    <row r="950" spans="2:19" ht="12.5">
      <c r="B950" s="38"/>
      <c r="L950" s="7"/>
      <c r="N950" s="30"/>
      <c r="S950" s="30"/>
    </row>
    <row r="951" spans="2:19" ht="12.5">
      <c r="B951" s="38"/>
      <c r="L951" s="7"/>
      <c r="N951" s="30"/>
      <c r="S951" s="30"/>
    </row>
    <row r="952" spans="2:19" ht="12.5">
      <c r="B952" s="38"/>
      <c r="L952" s="7"/>
      <c r="N952" s="30"/>
      <c r="S952" s="30"/>
    </row>
    <row r="953" spans="2:19" ht="12.5">
      <c r="B953" s="38"/>
      <c r="L953" s="7"/>
      <c r="N953" s="30"/>
      <c r="S953" s="30"/>
    </row>
    <row r="954" spans="2:19" ht="12.5">
      <c r="B954" s="38"/>
      <c r="L954" s="7"/>
      <c r="N954" s="30"/>
      <c r="S954" s="30"/>
    </row>
    <row r="955" spans="2:19" ht="12.5">
      <c r="B955" s="38"/>
      <c r="L955" s="7"/>
      <c r="N955" s="30"/>
      <c r="S955" s="30"/>
    </row>
    <row r="956" spans="2:19" ht="12.5">
      <c r="B956" s="38"/>
      <c r="L956" s="7"/>
      <c r="N956" s="30"/>
      <c r="S956" s="30"/>
    </row>
    <row r="957" spans="2:19" ht="12.5">
      <c r="B957" s="38"/>
      <c r="L957" s="7"/>
      <c r="N957" s="30"/>
      <c r="S957" s="30"/>
    </row>
    <row r="958" spans="2:19" ht="12.5">
      <c r="B958" s="38"/>
      <c r="L958" s="7"/>
      <c r="N958" s="30"/>
      <c r="S958" s="30"/>
    </row>
    <row r="959" spans="2:19" ht="12.5">
      <c r="B959" s="38"/>
      <c r="L959" s="7"/>
      <c r="N959" s="30"/>
      <c r="S959" s="30"/>
    </row>
    <row r="960" spans="2:19" ht="12.5">
      <c r="B960" s="38"/>
      <c r="L960" s="7"/>
      <c r="N960" s="30"/>
      <c r="S960" s="30"/>
    </row>
    <row r="961" spans="2:19" ht="12.5">
      <c r="B961" s="38"/>
      <c r="L961" s="7"/>
      <c r="N961" s="30"/>
      <c r="S961" s="30"/>
    </row>
    <row r="962" spans="2:19" ht="12.5">
      <c r="B962" s="38"/>
      <c r="L962" s="7"/>
      <c r="N962" s="30"/>
      <c r="S962" s="30"/>
    </row>
    <row r="963" spans="2:19" ht="12.5">
      <c r="B963" s="38"/>
      <c r="L963" s="7"/>
      <c r="N963" s="30"/>
      <c r="S963" s="30"/>
    </row>
    <row r="964" spans="2:19" ht="12.5">
      <c r="B964" s="38"/>
      <c r="L964" s="7"/>
      <c r="N964" s="30"/>
      <c r="S964" s="30"/>
    </row>
    <row r="965" spans="2:19" ht="12.5">
      <c r="B965" s="38"/>
      <c r="L965" s="7"/>
      <c r="N965" s="30"/>
      <c r="S965" s="30"/>
    </row>
    <row r="966" spans="2:19" ht="12.5">
      <c r="B966" s="38"/>
      <c r="L966" s="7"/>
      <c r="N966" s="30"/>
      <c r="S966" s="30"/>
    </row>
    <row r="967" spans="2:19" ht="12.5">
      <c r="B967" s="38"/>
      <c r="L967" s="7"/>
      <c r="N967" s="30"/>
      <c r="S967" s="30"/>
    </row>
    <row r="968" spans="2:19" ht="12.5">
      <c r="B968" s="38"/>
      <c r="L968" s="7"/>
      <c r="N968" s="30"/>
      <c r="S968" s="30"/>
    </row>
    <row r="969" spans="2:19" ht="12.5">
      <c r="B969" s="38"/>
      <c r="L969" s="7"/>
      <c r="N969" s="30"/>
      <c r="S969" s="30"/>
    </row>
    <row r="970" spans="2:19" ht="12.5">
      <c r="B970" s="38"/>
      <c r="L970" s="7"/>
      <c r="N970" s="30"/>
      <c r="S970" s="30"/>
    </row>
    <row r="971" spans="2:19" ht="12.5">
      <c r="B971" s="38"/>
      <c r="L971" s="7"/>
      <c r="N971" s="30"/>
      <c r="S971" s="30"/>
    </row>
    <row r="972" spans="2:19" ht="12.5">
      <c r="B972" s="38"/>
      <c r="L972" s="7"/>
      <c r="N972" s="30"/>
      <c r="S972" s="30"/>
    </row>
    <row r="973" spans="2:19" ht="12.5">
      <c r="B973" s="38"/>
      <c r="L973" s="7"/>
      <c r="N973" s="30"/>
      <c r="S973" s="30"/>
    </row>
    <row r="974" spans="2:19" ht="12.5">
      <c r="B974" s="38"/>
      <c r="L974" s="7"/>
      <c r="N974" s="30"/>
      <c r="S974" s="30"/>
    </row>
    <row r="975" spans="2:19" ht="12.5">
      <c r="B975" s="38"/>
      <c r="L975" s="7"/>
      <c r="N975" s="30"/>
      <c r="S975" s="30"/>
    </row>
    <row r="976" spans="2:19" ht="12.5">
      <c r="B976" s="38"/>
      <c r="L976" s="7"/>
      <c r="N976" s="30"/>
      <c r="S976" s="30"/>
    </row>
    <row r="977" spans="2:19" ht="12.5">
      <c r="B977" s="38"/>
      <c r="L977" s="7"/>
      <c r="N977" s="30"/>
      <c r="S977" s="30"/>
    </row>
    <row r="978" spans="2:19" ht="12.5">
      <c r="B978" s="38"/>
      <c r="L978" s="7"/>
      <c r="N978" s="30"/>
      <c r="S978" s="30"/>
    </row>
    <row r="979" spans="2:19" ht="12.5">
      <c r="B979" s="38"/>
      <c r="L979" s="7"/>
      <c r="N979" s="30"/>
      <c r="S979" s="30"/>
    </row>
    <row r="980" spans="2:19" ht="12.5">
      <c r="B980" s="38"/>
      <c r="L980" s="7"/>
      <c r="N980" s="30"/>
      <c r="S980" s="30"/>
    </row>
    <row r="981" spans="2:19" ht="12.5">
      <c r="B981" s="38"/>
      <c r="L981" s="7"/>
      <c r="N981" s="30"/>
      <c r="S981" s="30"/>
    </row>
    <row r="982" spans="2:19" ht="12.5">
      <c r="B982" s="38"/>
      <c r="L982" s="7"/>
      <c r="N982" s="30"/>
      <c r="S982" s="30"/>
    </row>
    <row r="983" spans="2:19" ht="12.5">
      <c r="B983" s="38"/>
      <c r="L983" s="7"/>
      <c r="N983" s="30"/>
      <c r="S983" s="30"/>
    </row>
    <row r="984" spans="2:19" ht="12.5">
      <c r="B984" s="38"/>
      <c r="L984" s="7"/>
      <c r="N984" s="30"/>
      <c r="S984" s="30"/>
    </row>
    <row r="985" spans="2:19" ht="12.5">
      <c r="B985" s="38"/>
      <c r="L985" s="7"/>
      <c r="N985" s="30"/>
      <c r="S985" s="30"/>
    </row>
    <row r="986" spans="2:19" ht="12.5">
      <c r="B986" s="38"/>
      <c r="L986" s="7"/>
      <c r="N986" s="30"/>
      <c r="S986" s="30"/>
    </row>
    <row r="987" spans="2:19" ht="12.5">
      <c r="B987" s="38"/>
      <c r="L987" s="7"/>
      <c r="N987" s="30"/>
      <c r="S987" s="30"/>
    </row>
    <row r="988" spans="2:19" ht="12.5">
      <c r="B988" s="38"/>
      <c r="L988" s="7"/>
      <c r="N988" s="30"/>
      <c r="S988" s="30"/>
    </row>
    <row r="989" spans="2:19" ht="12.5">
      <c r="B989" s="38"/>
      <c r="L989" s="7"/>
      <c r="N989" s="30"/>
      <c r="S989" s="30"/>
    </row>
    <row r="990" spans="2:19" ht="12.5">
      <c r="B990" s="38"/>
      <c r="L990" s="7"/>
      <c r="N990" s="30"/>
      <c r="S990" s="30"/>
    </row>
    <row r="991" spans="2:19" ht="12.5">
      <c r="B991" s="38"/>
      <c r="L991" s="7"/>
      <c r="N991" s="30"/>
      <c r="S991" s="30"/>
    </row>
    <row r="992" spans="2:19" ht="12.5">
      <c r="B992" s="38"/>
      <c r="L992" s="7"/>
      <c r="N992" s="30"/>
      <c r="S992" s="30"/>
    </row>
    <row r="993" spans="2:19" ht="12.5">
      <c r="B993" s="38"/>
      <c r="L993" s="7"/>
      <c r="N993" s="30"/>
      <c r="S993" s="30"/>
    </row>
    <row r="994" spans="2:19" ht="12.5">
      <c r="B994" s="38"/>
      <c r="L994" s="7"/>
      <c r="N994" s="30"/>
      <c r="S994" s="30"/>
    </row>
    <row r="995" spans="2:19" ht="12.5">
      <c r="B995" s="38"/>
      <c r="L995" s="7"/>
      <c r="N995" s="30"/>
      <c r="S995" s="30"/>
    </row>
    <row r="996" spans="2:19" ht="12.5">
      <c r="B996" s="38"/>
      <c r="L996" s="7"/>
      <c r="N996" s="30"/>
      <c r="S996" s="30"/>
    </row>
    <row r="997" spans="2:19" ht="12.5">
      <c r="B997" s="38"/>
      <c r="L997" s="7"/>
      <c r="N997" s="30"/>
      <c r="S997" s="30"/>
    </row>
    <row r="998" spans="2:19" ht="12.5">
      <c r="B998" s="38"/>
      <c r="L998" s="7"/>
      <c r="N998" s="30"/>
      <c r="S998" s="30"/>
    </row>
    <row r="999" spans="2:19" ht="12.5">
      <c r="B999" s="38"/>
      <c r="L999" s="7"/>
      <c r="N999" s="30"/>
      <c r="S999" s="30"/>
    </row>
    <row r="1000" spans="2:19" ht="12.5">
      <c r="B1000" s="38"/>
      <c r="L1000" s="7"/>
      <c r="N1000" s="30"/>
      <c r="S1000" s="30"/>
    </row>
    <row r="1001" spans="2:19" ht="12.5">
      <c r="B1001" s="38"/>
      <c r="L1001" s="7"/>
      <c r="N1001" s="30"/>
      <c r="S1001" s="30"/>
    </row>
    <row r="1002" spans="2:19" ht="12.5">
      <c r="B1002" s="38"/>
      <c r="L1002" s="7"/>
      <c r="N1002" s="30"/>
      <c r="S1002" s="30"/>
    </row>
    <row r="1003" spans="2:19" ht="12.5">
      <c r="B1003" s="38"/>
      <c r="L1003" s="7"/>
      <c r="N1003" s="30"/>
      <c r="S1003" s="30"/>
    </row>
    <row r="1004" spans="2:19" ht="12.5">
      <c r="B1004" s="38"/>
      <c r="L1004" s="7"/>
      <c r="N1004" s="30"/>
      <c r="S1004" s="30"/>
    </row>
    <row r="1005" spans="2:19" ht="12.5">
      <c r="B1005" s="38"/>
      <c r="L1005" s="7"/>
      <c r="N1005" s="30"/>
      <c r="S1005" s="30"/>
    </row>
    <row r="1006" spans="2:19" ht="12.5">
      <c r="B1006" s="38"/>
      <c r="L1006" s="7"/>
      <c r="N1006" s="30"/>
      <c r="S1006" s="30"/>
    </row>
    <row r="1007" spans="2:19" ht="12.5">
      <c r="B1007" s="38"/>
      <c r="L1007" s="7"/>
      <c r="N1007" s="30"/>
      <c r="S1007" s="30"/>
    </row>
    <row r="1008" spans="2:19" ht="12.5">
      <c r="B1008" s="38"/>
      <c r="L1008" s="7"/>
      <c r="N1008" s="30"/>
      <c r="S1008" s="30"/>
    </row>
    <row r="1009" spans="2:19" ht="12.5">
      <c r="B1009" s="38"/>
      <c r="L1009" s="7"/>
      <c r="N1009" s="30"/>
      <c r="S1009" s="30"/>
    </row>
    <row r="1010" spans="2:19" ht="12.5">
      <c r="B1010" s="38"/>
      <c r="L1010" s="7"/>
      <c r="N1010" s="30"/>
      <c r="S1010" s="30"/>
    </row>
    <row r="1011" spans="2:19" ht="12.5">
      <c r="B1011" s="38"/>
      <c r="L1011" s="7"/>
      <c r="N1011" s="30"/>
      <c r="S1011" s="30"/>
    </row>
    <row r="1012" spans="2:19" ht="12.5">
      <c r="B1012" s="38"/>
      <c r="L1012" s="7"/>
      <c r="N1012" s="30"/>
      <c r="S1012" s="30"/>
    </row>
    <row r="1013" spans="2:19" ht="12.5">
      <c r="B1013" s="38"/>
      <c r="L1013" s="7"/>
      <c r="N1013" s="30"/>
      <c r="S1013" s="30"/>
    </row>
    <row r="1014" spans="2:19" ht="12.5">
      <c r="B1014" s="38"/>
      <c r="L1014" s="7"/>
      <c r="N1014" s="30"/>
      <c r="S1014" s="30"/>
    </row>
    <row r="1015" spans="2:19" ht="12.5">
      <c r="B1015" s="38"/>
      <c r="L1015" s="7"/>
      <c r="N1015" s="30"/>
      <c r="S1015" s="30"/>
    </row>
    <row r="1016" spans="2:19" ht="12.5">
      <c r="B1016" s="38"/>
      <c r="L1016" s="7"/>
      <c r="N1016" s="30"/>
      <c r="S1016" s="30"/>
    </row>
    <row r="1017" spans="2:19" ht="12.5">
      <c r="B1017" s="38"/>
      <c r="L1017" s="7"/>
      <c r="N1017" s="30"/>
      <c r="S1017" s="30"/>
    </row>
    <row r="1018" spans="2:19" ht="12.5">
      <c r="B1018" s="38"/>
      <c r="L1018" s="7"/>
      <c r="N1018" s="30"/>
      <c r="S1018" s="30"/>
    </row>
    <row r="1019" spans="2:19" ht="12.5">
      <c r="B1019" s="38"/>
      <c r="L1019" s="7"/>
      <c r="N1019" s="30"/>
      <c r="S1019" s="30"/>
    </row>
    <row r="1020" spans="2:19" ht="12.5">
      <c r="B1020" s="38"/>
      <c r="L1020" s="7"/>
      <c r="N1020" s="30"/>
      <c r="S1020" s="30"/>
    </row>
    <row r="1021" spans="2:19" ht="12.5">
      <c r="B1021" s="38"/>
      <c r="L1021" s="7"/>
      <c r="N1021" s="30"/>
      <c r="S1021" s="30"/>
    </row>
    <row r="1022" spans="2:19" ht="12.5">
      <c r="B1022" s="38"/>
      <c r="L1022" s="7"/>
      <c r="N1022" s="30"/>
      <c r="S1022" s="30"/>
    </row>
    <row r="1023" spans="2:19" ht="12.5">
      <c r="B1023" s="38"/>
      <c r="L1023" s="7"/>
      <c r="N1023" s="30"/>
      <c r="S1023" s="30"/>
    </row>
    <row r="1024" spans="2:19" ht="12.5">
      <c r="B1024" s="38"/>
      <c r="L1024" s="7"/>
      <c r="N1024" s="30"/>
      <c r="S1024" s="30"/>
    </row>
    <row r="1025" spans="2:19" ht="12.5">
      <c r="B1025" s="38"/>
      <c r="L1025" s="7"/>
      <c r="N1025" s="30"/>
      <c r="S1025" s="30"/>
    </row>
    <row r="1026" spans="2:19" ht="12.5">
      <c r="B1026" s="38"/>
      <c r="L1026" s="7"/>
      <c r="N1026" s="30"/>
      <c r="S1026" s="30"/>
    </row>
    <row r="1027" spans="2:19" ht="12.5">
      <c r="B1027" s="38"/>
      <c r="L1027" s="7"/>
      <c r="N1027" s="30"/>
      <c r="S1027" s="30"/>
    </row>
    <row r="1028" spans="2:19" ht="12.5">
      <c r="B1028" s="38"/>
      <c r="L1028" s="7"/>
      <c r="N1028" s="30"/>
      <c r="S1028" s="30"/>
    </row>
    <row r="1029" spans="2:19" ht="12.5">
      <c r="B1029" s="38"/>
      <c r="L1029" s="7"/>
      <c r="N1029" s="30"/>
      <c r="S1029" s="30"/>
    </row>
    <row r="1030" spans="2:19" ht="12.5">
      <c r="B1030" s="38"/>
      <c r="L1030" s="7"/>
      <c r="N1030" s="30"/>
      <c r="S1030" s="30"/>
    </row>
    <row r="1031" spans="2:19" ht="12.5">
      <c r="B1031" s="38"/>
      <c r="L1031" s="7"/>
      <c r="N1031" s="30"/>
      <c r="S1031" s="30"/>
    </row>
    <row r="1032" spans="2:19" ht="12.5">
      <c r="B1032" s="38"/>
      <c r="L1032" s="7"/>
      <c r="N1032" s="30"/>
      <c r="S1032" s="30"/>
    </row>
    <row r="1033" spans="2:19" ht="12.5">
      <c r="B1033" s="38"/>
      <c r="L1033" s="7"/>
      <c r="N1033" s="30"/>
      <c r="S1033" s="30"/>
    </row>
    <row r="1034" spans="2:19" ht="12.5">
      <c r="B1034" s="38"/>
      <c r="L1034" s="7"/>
      <c r="N1034" s="30"/>
      <c r="S1034" s="30"/>
    </row>
    <row r="1035" spans="2:19" ht="12.5">
      <c r="B1035" s="38"/>
      <c r="L1035" s="7"/>
      <c r="N1035" s="30"/>
      <c r="S1035" s="30"/>
    </row>
    <row r="1036" spans="2:19" ht="12.5">
      <c r="B1036" s="38"/>
      <c r="L1036" s="7"/>
      <c r="N1036" s="30"/>
      <c r="S1036" s="30"/>
    </row>
    <row r="1037" spans="2:19" ht="12.5">
      <c r="B1037" s="38"/>
      <c r="L1037" s="7"/>
      <c r="N1037" s="30"/>
      <c r="S1037" s="30"/>
    </row>
    <row r="1038" spans="2:19" ht="12.5">
      <c r="B1038" s="38"/>
      <c r="L1038" s="7"/>
      <c r="N1038" s="30"/>
      <c r="S1038" s="30"/>
    </row>
    <row r="1039" spans="2:19" ht="12.5">
      <c r="B1039" s="38"/>
      <c r="L1039" s="7"/>
      <c r="N1039" s="30"/>
      <c r="S1039" s="30"/>
    </row>
  </sheetData>
  <mergeCells count="4">
    <mergeCell ref="P11:Q11"/>
    <mergeCell ref="B311:C311"/>
    <mergeCell ref="A320:B320"/>
    <mergeCell ref="C320:H320"/>
  </mergeCells>
  <conditionalFormatting sqref="B1:B8 A3 A10 B10:B289 B296:B305 C306:C307 C309 B310:B311 B406:B1039">
    <cfRule type="cellIs" dxfId="9" priority="1" operator="equal">
      <formula>"REDEEM"</formula>
    </cfRule>
    <cfRule type="cellIs" dxfId="8" priority="2" operator="equal">
      <formula>"PURCHASE"</formula>
    </cfRule>
    <cfRule type="containsText" dxfId="7" priority="3" operator="containsText" text="SWITCH">
      <formula>NOT(ISERROR(SEARCH(("SWITCH"),(B1))))</formula>
    </cfRule>
  </conditionalFormatting>
  <conditionalFormatting sqref="T1 R1:S1039 T178:T1039">
    <cfRule type="notContainsBlanks" dxfId="6" priority="4">
      <formula>LEN(TRIM(R1))&gt;0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68"/>
  <sheetViews>
    <sheetView workbookViewId="0"/>
  </sheetViews>
  <sheetFormatPr defaultColWidth="12.6328125" defaultRowHeight="15.75" customHeight="1"/>
  <cols>
    <col min="1" max="1" width="43.7265625" customWidth="1"/>
  </cols>
  <sheetData>
    <row r="1" spans="1:11" ht="15.75" customHeight="1">
      <c r="A1" s="70" t="s">
        <v>70</v>
      </c>
    </row>
    <row r="2" spans="1:11" ht="15.75" customHeight="1">
      <c r="A2" s="86"/>
    </row>
    <row r="3" spans="1:11" ht="15.75" customHeight="1">
      <c r="A3" s="4" t="s">
        <v>29</v>
      </c>
      <c r="B3" s="40" t="s">
        <v>30</v>
      </c>
      <c r="C3" s="27" t="s">
        <v>31</v>
      </c>
      <c r="D3" s="27" t="s">
        <v>32</v>
      </c>
      <c r="E3" s="27" t="s">
        <v>33</v>
      </c>
      <c r="F3" s="27" t="s">
        <v>34</v>
      </c>
      <c r="G3" s="27" t="s">
        <v>35</v>
      </c>
      <c r="J3" s="6" t="s">
        <v>106</v>
      </c>
      <c r="K3" s="6" t="s">
        <v>106</v>
      </c>
    </row>
    <row r="4" spans="1:11" ht="15.75" customHeight="1">
      <c r="A4" s="6" t="s">
        <v>70</v>
      </c>
      <c r="B4" s="6" t="s">
        <v>40</v>
      </c>
      <c r="C4" s="6">
        <v>1.1000000000000001</v>
      </c>
      <c r="D4" s="6">
        <v>91.63</v>
      </c>
      <c r="E4" s="17">
        <v>101</v>
      </c>
      <c r="F4" s="22">
        <v>44152</v>
      </c>
      <c r="G4" s="17">
        <v>101</v>
      </c>
    </row>
    <row r="5" spans="1:11" ht="15.75" customHeight="1">
      <c r="A5" s="6" t="s">
        <v>70</v>
      </c>
      <c r="B5" s="6" t="s">
        <v>37</v>
      </c>
      <c r="C5" s="6">
        <v>1.1000000000000001</v>
      </c>
      <c r="D5" s="6">
        <v>90.46</v>
      </c>
      <c r="E5" s="17">
        <v>100</v>
      </c>
      <c r="F5" s="22">
        <v>44126</v>
      </c>
      <c r="G5" s="17">
        <v>-100</v>
      </c>
    </row>
    <row r="6" spans="1:11" ht="15.75" customHeight="1">
      <c r="A6" s="87" t="s">
        <v>11</v>
      </c>
      <c r="B6" s="87"/>
      <c r="C6" s="87">
        <v>0</v>
      </c>
      <c r="D6" s="87"/>
      <c r="E6" s="87"/>
      <c r="F6" s="88"/>
      <c r="G6" s="87"/>
    </row>
    <row r="7" spans="1:11" ht="15.75" customHeight="1">
      <c r="F7" s="27" t="s">
        <v>21</v>
      </c>
      <c r="G7" s="28">
        <v>0.14991420699246585</v>
      </c>
    </row>
    <row r="8" spans="1:11" ht="15.75" customHeight="1">
      <c r="A8" s="70" t="s">
        <v>49</v>
      </c>
    </row>
    <row r="10" spans="1:11" ht="15.75" customHeight="1">
      <c r="A10" s="4" t="s">
        <v>29</v>
      </c>
      <c r="B10" s="40" t="s">
        <v>30</v>
      </c>
      <c r="C10" s="27" t="s">
        <v>31</v>
      </c>
      <c r="D10" s="27" t="s">
        <v>32</v>
      </c>
      <c r="E10" s="27" t="s">
        <v>33</v>
      </c>
      <c r="F10" s="27" t="s">
        <v>34</v>
      </c>
      <c r="G10" s="27" t="s">
        <v>35</v>
      </c>
      <c r="H10" s="6"/>
      <c r="I10" s="6"/>
      <c r="J10" s="6" t="s">
        <v>106</v>
      </c>
      <c r="K10" s="6" t="s">
        <v>106</v>
      </c>
    </row>
    <row r="11" spans="1:11" ht="15.75" customHeight="1">
      <c r="A11" s="76" t="s">
        <v>49</v>
      </c>
      <c r="B11" s="76" t="s">
        <v>40</v>
      </c>
      <c r="C11" s="45">
        <v>2.5499999999999998</v>
      </c>
      <c r="D11" s="45">
        <v>3891.11</v>
      </c>
      <c r="E11" s="46">
        <v>9926</v>
      </c>
      <c r="F11" s="47">
        <v>45488</v>
      </c>
      <c r="G11" s="46">
        <v>9926</v>
      </c>
    </row>
    <row r="12" spans="1:11" ht="15.75" customHeight="1">
      <c r="A12" s="6" t="s">
        <v>49</v>
      </c>
      <c r="B12" s="6" t="s">
        <v>52</v>
      </c>
      <c r="C12" s="6">
        <v>2.5499999999999998</v>
      </c>
      <c r="D12" s="6">
        <v>3757.76</v>
      </c>
      <c r="E12" s="17">
        <v>9584</v>
      </c>
      <c r="F12" s="22">
        <v>45314</v>
      </c>
      <c r="G12" s="17">
        <v>-9584</v>
      </c>
    </row>
    <row r="13" spans="1:11" ht="15.75" customHeight="1">
      <c r="A13" s="87" t="s">
        <v>11</v>
      </c>
      <c r="B13" s="87"/>
      <c r="C13" s="87"/>
      <c r="D13" s="87"/>
      <c r="E13" s="87"/>
      <c r="F13" s="88"/>
      <c r="G13" s="87"/>
    </row>
    <row r="14" spans="1:11" ht="15.75" customHeight="1">
      <c r="F14" s="27" t="s">
        <v>21</v>
      </c>
      <c r="G14" s="28" t="e">
        <f>XIRR(G11:G12,F11:F12)</f>
        <v>#NUM!</v>
      </c>
    </row>
    <row r="15" spans="1:11" ht="15.75" customHeight="1">
      <c r="A15" s="70" t="s">
        <v>62</v>
      </c>
    </row>
    <row r="17" spans="1:11" ht="15.75" customHeight="1">
      <c r="A17" s="4" t="s">
        <v>29</v>
      </c>
      <c r="B17" s="40" t="s">
        <v>30</v>
      </c>
      <c r="C17" s="27" t="s">
        <v>31</v>
      </c>
      <c r="D17" s="27" t="s">
        <v>32</v>
      </c>
      <c r="E17" s="27" t="s">
        <v>33</v>
      </c>
      <c r="F17" s="27" t="s">
        <v>34</v>
      </c>
      <c r="G17" s="27" t="s">
        <v>35</v>
      </c>
      <c r="H17" s="6"/>
      <c r="I17" s="6"/>
      <c r="J17" s="6" t="s">
        <v>106</v>
      </c>
      <c r="K17" s="6" t="s">
        <v>106</v>
      </c>
    </row>
    <row r="18" spans="1:11" ht="15.75" customHeight="1">
      <c r="A18" s="6" t="s">
        <v>62</v>
      </c>
      <c r="B18" s="6" t="s">
        <v>54</v>
      </c>
      <c r="C18" s="6">
        <v>3.01</v>
      </c>
      <c r="D18" s="6">
        <v>334.82</v>
      </c>
      <c r="E18" s="17">
        <v>1009</v>
      </c>
      <c r="F18" s="22">
        <v>44393</v>
      </c>
      <c r="G18" s="17">
        <v>1009</v>
      </c>
    </row>
    <row r="19" spans="1:11" ht="15.75" customHeight="1">
      <c r="A19" s="6" t="s">
        <v>62</v>
      </c>
      <c r="B19" s="6" t="s">
        <v>37</v>
      </c>
      <c r="C19" s="6">
        <v>3.01</v>
      </c>
      <c r="D19" s="6">
        <v>330.18</v>
      </c>
      <c r="E19" s="17">
        <v>995</v>
      </c>
      <c r="F19" s="22">
        <v>44242</v>
      </c>
      <c r="G19" s="17">
        <v>-995</v>
      </c>
    </row>
    <row r="20" spans="1:11" ht="15.75" customHeight="1">
      <c r="A20" s="87" t="s">
        <v>11</v>
      </c>
      <c r="B20" s="87"/>
      <c r="C20" s="87">
        <v>0</v>
      </c>
      <c r="D20" s="87"/>
      <c r="E20" s="87"/>
      <c r="F20" s="88"/>
      <c r="G20" s="87"/>
    </row>
    <row r="21" spans="1:11" ht="15.75" customHeight="1">
      <c r="F21" s="27" t="s">
        <v>21</v>
      </c>
      <c r="G21" s="28">
        <v>3.4350881184620569E-2</v>
      </c>
    </row>
    <row r="22" spans="1:11" ht="14.5">
      <c r="A22" s="70" t="s">
        <v>55</v>
      </c>
    </row>
    <row r="24" spans="1:11" ht="14.5">
      <c r="A24" s="4" t="s">
        <v>29</v>
      </c>
      <c r="B24" s="40" t="s">
        <v>30</v>
      </c>
      <c r="C24" s="27" t="s">
        <v>31</v>
      </c>
      <c r="D24" s="27" t="s">
        <v>32</v>
      </c>
      <c r="E24" s="27" t="s">
        <v>33</v>
      </c>
      <c r="F24" s="27" t="s">
        <v>34</v>
      </c>
      <c r="G24" s="27" t="s">
        <v>35</v>
      </c>
      <c r="H24" s="6"/>
      <c r="I24" s="6"/>
      <c r="J24" s="6" t="s">
        <v>106</v>
      </c>
      <c r="K24" s="6" t="s">
        <v>106</v>
      </c>
    </row>
    <row r="25" spans="1:11" ht="12.5">
      <c r="A25" s="6" t="s">
        <v>55</v>
      </c>
      <c r="B25" s="6" t="s">
        <v>54</v>
      </c>
      <c r="C25" s="6">
        <v>19.190000000000001</v>
      </c>
      <c r="D25" s="6">
        <v>71.31</v>
      </c>
      <c r="E25" s="17">
        <v>1368</v>
      </c>
      <c r="F25" s="22">
        <v>45310</v>
      </c>
      <c r="G25" s="17">
        <v>1368</v>
      </c>
    </row>
    <row r="26" spans="1:11" ht="12.5">
      <c r="A26" s="6" t="s">
        <v>55</v>
      </c>
      <c r="B26" s="6" t="s">
        <v>52</v>
      </c>
      <c r="C26" s="6">
        <v>19.190000000000001</v>
      </c>
      <c r="D26" s="6">
        <v>53.35</v>
      </c>
      <c r="E26" s="17">
        <v>1023</v>
      </c>
      <c r="F26" s="22">
        <v>44526</v>
      </c>
      <c r="G26" s="17">
        <v>-1023</v>
      </c>
    </row>
    <row r="27" spans="1:11" ht="12.5">
      <c r="A27" s="87" t="s">
        <v>11</v>
      </c>
      <c r="B27" s="87"/>
      <c r="C27" s="87">
        <v>0</v>
      </c>
      <c r="D27" s="87"/>
      <c r="E27" s="87"/>
      <c r="F27" s="88"/>
      <c r="G27" s="87"/>
    </row>
    <row r="28" spans="1:11" ht="14.5">
      <c r="F28" s="27" t="s">
        <v>21</v>
      </c>
      <c r="G28" s="28">
        <v>0.14487665020314927</v>
      </c>
    </row>
    <row r="29" spans="1:11" ht="14.5">
      <c r="A29" s="70" t="s">
        <v>63</v>
      </c>
    </row>
    <row r="31" spans="1:11" ht="14.5">
      <c r="A31" s="4" t="s">
        <v>29</v>
      </c>
      <c r="B31" s="40" t="s">
        <v>30</v>
      </c>
      <c r="C31" s="27" t="s">
        <v>31</v>
      </c>
      <c r="D31" s="27" t="s">
        <v>32</v>
      </c>
      <c r="E31" s="27" t="s">
        <v>33</v>
      </c>
      <c r="F31" s="27" t="s">
        <v>34</v>
      </c>
      <c r="G31" s="27" t="s">
        <v>35</v>
      </c>
      <c r="H31" s="6"/>
      <c r="I31" s="6"/>
      <c r="J31" s="6" t="s">
        <v>106</v>
      </c>
      <c r="K31" s="6" t="s">
        <v>106</v>
      </c>
    </row>
    <row r="32" spans="1:11" ht="12.5">
      <c r="A32" s="6" t="s">
        <v>63</v>
      </c>
      <c r="B32" s="6" t="s">
        <v>54</v>
      </c>
      <c r="C32" s="6">
        <v>11.4</v>
      </c>
      <c r="D32" s="6">
        <v>89.9</v>
      </c>
      <c r="E32" s="17">
        <v>1024</v>
      </c>
      <c r="F32" s="22">
        <v>44524</v>
      </c>
      <c r="G32" s="17">
        <v>1024</v>
      </c>
    </row>
    <row r="33" spans="1:11" ht="12.5">
      <c r="A33" s="6" t="s">
        <v>63</v>
      </c>
      <c r="B33" s="6" t="s">
        <v>52</v>
      </c>
      <c r="C33" s="6">
        <v>11.4</v>
      </c>
      <c r="D33" s="6">
        <v>88.51</v>
      </c>
      <c r="E33" s="17">
        <v>1009</v>
      </c>
      <c r="F33" s="22">
        <v>44393</v>
      </c>
      <c r="G33" s="17">
        <v>-1009</v>
      </c>
    </row>
    <row r="34" spans="1:11" ht="12.5">
      <c r="A34" s="6" t="s">
        <v>63</v>
      </c>
      <c r="B34" s="6" t="s">
        <v>40</v>
      </c>
      <c r="C34" s="6">
        <v>11.56</v>
      </c>
      <c r="D34" s="6">
        <v>86.06</v>
      </c>
      <c r="E34" s="17">
        <v>995</v>
      </c>
      <c r="F34" s="22">
        <v>44242</v>
      </c>
      <c r="G34" s="17">
        <v>995</v>
      </c>
    </row>
    <row r="35" spans="1:11" ht="12.5">
      <c r="A35" s="6" t="s">
        <v>63</v>
      </c>
      <c r="B35" s="6" t="s">
        <v>37</v>
      </c>
      <c r="C35" s="6">
        <v>11.56</v>
      </c>
      <c r="D35" s="6">
        <v>86.48</v>
      </c>
      <c r="E35" s="17">
        <v>999</v>
      </c>
      <c r="F35" s="22">
        <v>44208</v>
      </c>
      <c r="G35" s="17">
        <v>-999</v>
      </c>
    </row>
    <row r="36" spans="1:11" ht="12.5">
      <c r="A36" s="87" t="s">
        <v>11</v>
      </c>
      <c r="B36" s="87"/>
      <c r="C36" s="87">
        <v>0</v>
      </c>
      <c r="D36" s="88"/>
      <c r="E36" s="87"/>
      <c r="F36" s="88"/>
      <c r="G36" s="87"/>
    </row>
    <row r="37" spans="1:11" ht="14.5">
      <c r="F37" s="27" t="s">
        <v>21</v>
      </c>
      <c r="G37" s="28">
        <v>2.4111204596359067E-2</v>
      </c>
    </row>
    <row r="38" spans="1:11" ht="14.5">
      <c r="A38" s="70" t="s">
        <v>48</v>
      </c>
    </row>
    <row r="40" spans="1:11" ht="14.5">
      <c r="A40" s="4" t="s">
        <v>29</v>
      </c>
      <c r="B40" s="40" t="s">
        <v>30</v>
      </c>
      <c r="C40" s="27" t="s">
        <v>31</v>
      </c>
      <c r="D40" s="27" t="s">
        <v>32</v>
      </c>
      <c r="E40" s="27" t="s">
        <v>33</v>
      </c>
      <c r="F40" s="27" t="s">
        <v>34</v>
      </c>
      <c r="G40" s="27" t="s">
        <v>35</v>
      </c>
      <c r="H40" s="6"/>
      <c r="I40" s="6"/>
      <c r="J40" s="6" t="s">
        <v>106</v>
      </c>
      <c r="K40" s="6" t="s">
        <v>106</v>
      </c>
    </row>
    <row r="41" spans="1:11" ht="14.5">
      <c r="A41" s="76" t="s">
        <v>48</v>
      </c>
      <c r="B41" s="76" t="s">
        <v>40</v>
      </c>
      <c r="C41" s="45">
        <v>52.61</v>
      </c>
      <c r="D41" s="45">
        <v>365.05</v>
      </c>
      <c r="E41" s="46">
        <v>19203</v>
      </c>
      <c r="F41" s="47">
        <v>45488</v>
      </c>
      <c r="G41" s="46">
        <v>19203</v>
      </c>
    </row>
    <row r="42" spans="1:11" ht="12.5">
      <c r="A42" s="6" t="s">
        <v>48</v>
      </c>
      <c r="B42" s="6" t="s">
        <v>52</v>
      </c>
      <c r="C42" s="6">
        <v>52.61</v>
      </c>
      <c r="D42" s="6">
        <v>352.45</v>
      </c>
      <c r="E42" s="17">
        <v>18541</v>
      </c>
      <c r="F42" s="22">
        <v>45314</v>
      </c>
      <c r="G42" s="17">
        <v>-18541</v>
      </c>
    </row>
    <row r="43" spans="1:11" ht="12.5">
      <c r="A43" s="87" t="s">
        <v>11</v>
      </c>
      <c r="B43" s="87"/>
      <c r="C43" s="87"/>
      <c r="D43" s="87"/>
      <c r="E43" s="87"/>
      <c r="F43" s="88"/>
      <c r="G43" s="87"/>
    </row>
    <row r="44" spans="1:11" ht="14.5">
      <c r="F44" s="27" t="s">
        <v>21</v>
      </c>
      <c r="G44" s="28" t="e">
        <f>XIRR(G41:G42,F41:F42)</f>
        <v>#NUM!</v>
      </c>
    </row>
    <row r="45" spans="1:11" ht="14.5">
      <c r="A45" s="70" t="s">
        <v>50</v>
      </c>
    </row>
    <row r="47" spans="1:11" ht="14.5">
      <c r="A47" s="4" t="s">
        <v>29</v>
      </c>
      <c r="B47" s="40" t="s">
        <v>30</v>
      </c>
      <c r="C47" s="27" t="s">
        <v>31</v>
      </c>
      <c r="D47" s="27" t="s">
        <v>32</v>
      </c>
      <c r="E47" s="27" t="s">
        <v>33</v>
      </c>
      <c r="F47" s="27" t="s">
        <v>34</v>
      </c>
      <c r="G47" s="27" t="s">
        <v>35</v>
      </c>
      <c r="H47" s="6"/>
      <c r="I47" s="6"/>
      <c r="J47" s="6" t="s">
        <v>106</v>
      </c>
      <c r="K47" s="6" t="s">
        <v>106</v>
      </c>
    </row>
    <row r="48" spans="1:11" ht="14.5">
      <c r="A48" s="76" t="s">
        <v>50</v>
      </c>
      <c r="B48" s="76" t="s">
        <v>40</v>
      </c>
      <c r="C48" s="45">
        <v>134.49</v>
      </c>
      <c r="D48" s="45">
        <v>10.55</v>
      </c>
      <c r="E48" s="46">
        <v>1419</v>
      </c>
      <c r="F48" s="47">
        <v>45488</v>
      </c>
      <c r="G48" s="46">
        <v>1419</v>
      </c>
    </row>
    <row r="49" spans="1:11" ht="12.5">
      <c r="A49" s="6" t="s">
        <v>50</v>
      </c>
      <c r="B49" s="6" t="s">
        <v>52</v>
      </c>
      <c r="C49" s="6">
        <v>134.49</v>
      </c>
      <c r="D49" s="6">
        <v>10.18</v>
      </c>
      <c r="E49" s="17">
        <v>1368</v>
      </c>
      <c r="F49" s="22">
        <v>45315</v>
      </c>
      <c r="G49" s="17">
        <v>-1368</v>
      </c>
    </row>
    <row r="50" spans="1:11" ht="12.5">
      <c r="A50" s="87" t="s">
        <v>11</v>
      </c>
      <c r="B50" s="87"/>
      <c r="C50" s="87"/>
      <c r="D50" s="87"/>
      <c r="E50" s="87"/>
      <c r="F50" s="88"/>
      <c r="G50" s="87"/>
    </row>
    <row r="51" spans="1:11" ht="14.5">
      <c r="F51" s="27" t="s">
        <v>21</v>
      </c>
      <c r="G51" s="28" t="e">
        <f>XIRR(G48:G49,F48:F49)</f>
        <v>#NUM!</v>
      </c>
    </row>
    <row r="52" spans="1:11" ht="14.5">
      <c r="A52" s="70" t="s">
        <v>39</v>
      </c>
    </row>
    <row r="54" spans="1:11" ht="14.5">
      <c r="A54" s="4" t="s">
        <v>29</v>
      </c>
      <c r="B54" s="40" t="s">
        <v>30</v>
      </c>
      <c r="C54" s="27" t="s">
        <v>31</v>
      </c>
      <c r="D54" s="27" t="s">
        <v>32</v>
      </c>
      <c r="E54" s="27" t="s">
        <v>33</v>
      </c>
      <c r="F54" s="27" t="s">
        <v>34</v>
      </c>
      <c r="G54" s="27" t="s">
        <v>35</v>
      </c>
      <c r="H54" s="6"/>
      <c r="I54" s="6"/>
      <c r="J54" s="6" t="s">
        <v>106</v>
      </c>
      <c r="K54" s="6" t="s">
        <v>106</v>
      </c>
    </row>
    <row r="55" spans="1:11" ht="14.5">
      <c r="A55" s="76" t="s">
        <v>39</v>
      </c>
      <c r="B55" s="76" t="s">
        <v>37</v>
      </c>
      <c r="C55" s="48">
        <v>747.59</v>
      </c>
      <c r="D55" s="45">
        <v>30.43</v>
      </c>
      <c r="E55" s="46">
        <v>22748</v>
      </c>
      <c r="F55" s="47">
        <v>45495</v>
      </c>
      <c r="G55" s="17">
        <v>-22748</v>
      </c>
    </row>
    <row r="56" spans="1:11" ht="14.5">
      <c r="A56" s="76" t="s">
        <v>39</v>
      </c>
      <c r="B56" s="76" t="s">
        <v>37</v>
      </c>
      <c r="C56" s="48">
        <v>16.45</v>
      </c>
      <c r="D56" s="45">
        <v>30.39</v>
      </c>
      <c r="E56" s="46">
        <v>499</v>
      </c>
      <c r="F56" s="47">
        <v>45489</v>
      </c>
      <c r="G56" s="17">
        <v>-499</v>
      </c>
    </row>
    <row r="57" spans="1:11" ht="12.5">
      <c r="A57" s="6" t="s">
        <v>39</v>
      </c>
      <c r="B57" s="6" t="s">
        <v>37</v>
      </c>
      <c r="C57" s="6">
        <v>16.559999999999999</v>
      </c>
      <c r="D57" s="6">
        <v>30.2</v>
      </c>
      <c r="E57" s="17">
        <v>499</v>
      </c>
      <c r="F57" s="22">
        <v>45462</v>
      </c>
      <c r="G57" s="17">
        <v>-499</v>
      </c>
    </row>
    <row r="58" spans="1:11" ht="12.5">
      <c r="A58" s="6" t="s">
        <v>39</v>
      </c>
      <c r="B58" s="6" t="s">
        <v>37</v>
      </c>
      <c r="C58" s="6">
        <v>16.690000000000001</v>
      </c>
      <c r="D58" s="6">
        <v>29.96</v>
      </c>
      <c r="E58" s="17">
        <v>499</v>
      </c>
      <c r="F58" s="22">
        <v>45428</v>
      </c>
      <c r="G58" s="17">
        <v>-499</v>
      </c>
    </row>
    <row r="59" spans="1:11" ht="12.5">
      <c r="A59" s="6" t="s">
        <v>39</v>
      </c>
      <c r="B59" s="6" t="s">
        <v>37</v>
      </c>
      <c r="C59" s="6">
        <v>16.809999999999999</v>
      </c>
      <c r="D59" s="6">
        <v>29.74</v>
      </c>
      <c r="E59" s="17">
        <v>499</v>
      </c>
      <c r="F59" s="22">
        <v>45398</v>
      </c>
      <c r="G59" s="17">
        <v>-499</v>
      </c>
    </row>
    <row r="60" spans="1:11" ht="12.5">
      <c r="A60" s="6" t="s">
        <v>39</v>
      </c>
      <c r="B60" s="6" t="s">
        <v>37</v>
      </c>
      <c r="C60" s="6">
        <v>16.89</v>
      </c>
      <c r="D60" s="6">
        <v>29.6</v>
      </c>
      <c r="E60" s="17">
        <v>499</v>
      </c>
      <c r="F60" s="22">
        <v>45366</v>
      </c>
      <c r="G60" s="17">
        <v>-499</v>
      </c>
    </row>
    <row r="61" spans="1:11" ht="12.5">
      <c r="A61" s="6" t="s">
        <v>39</v>
      </c>
      <c r="B61" s="6" t="s">
        <v>37</v>
      </c>
      <c r="C61" s="6">
        <v>17.010000000000002</v>
      </c>
      <c r="D61" s="6">
        <v>29.39</v>
      </c>
      <c r="E61" s="17">
        <v>499</v>
      </c>
      <c r="F61" s="22">
        <v>45337</v>
      </c>
      <c r="G61" s="17">
        <v>-499</v>
      </c>
    </row>
    <row r="62" spans="1:11" ht="12.5">
      <c r="A62" s="6" t="s">
        <v>39</v>
      </c>
      <c r="B62" s="6" t="s">
        <v>37</v>
      </c>
      <c r="C62" s="6">
        <v>17.13</v>
      </c>
      <c r="D62" s="6">
        <v>29.19</v>
      </c>
      <c r="E62" s="17">
        <v>499</v>
      </c>
      <c r="F62" s="22">
        <v>45307</v>
      </c>
      <c r="G62" s="17">
        <v>-499</v>
      </c>
    </row>
    <row r="63" spans="1:11" ht="12.5">
      <c r="A63" s="6" t="s">
        <v>39</v>
      </c>
      <c r="B63" s="6" t="s">
        <v>37</v>
      </c>
      <c r="C63" s="6">
        <v>3.45</v>
      </c>
      <c r="D63" s="6">
        <v>28.99</v>
      </c>
      <c r="E63" s="17">
        <v>100</v>
      </c>
      <c r="F63" s="22">
        <v>45275</v>
      </c>
      <c r="G63" s="17">
        <v>-100</v>
      </c>
    </row>
    <row r="64" spans="1:11" ht="12.5">
      <c r="A64" s="6" t="s">
        <v>39</v>
      </c>
      <c r="B64" s="6" t="s">
        <v>37</v>
      </c>
      <c r="C64" s="6">
        <v>3.47</v>
      </c>
      <c r="D64" s="6">
        <v>28.8</v>
      </c>
      <c r="E64" s="17">
        <v>100</v>
      </c>
      <c r="F64" s="22">
        <v>45245</v>
      </c>
      <c r="G64" s="17">
        <v>-100</v>
      </c>
    </row>
    <row r="65" spans="1:7" ht="12.5">
      <c r="A65" s="6" t="s">
        <v>39</v>
      </c>
      <c r="B65" s="6" t="s">
        <v>37</v>
      </c>
      <c r="C65" s="6">
        <v>3.5</v>
      </c>
      <c r="D65" s="6">
        <v>28.58</v>
      </c>
      <c r="E65" s="17">
        <v>100</v>
      </c>
      <c r="F65" s="22">
        <v>45215</v>
      </c>
      <c r="G65" s="17">
        <v>-100</v>
      </c>
    </row>
    <row r="66" spans="1:7" ht="12.5">
      <c r="A66" s="6" t="s">
        <v>39</v>
      </c>
      <c r="B66" s="6" t="s">
        <v>37</v>
      </c>
      <c r="C66" s="6">
        <v>3.51</v>
      </c>
      <c r="D66" s="6">
        <v>28.52</v>
      </c>
      <c r="E66" s="17">
        <v>100</v>
      </c>
      <c r="F66" s="22">
        <v>45184</v>
      </c>
      <c r="G66" s="17">
        <v>-100</v>
      </c>
    </row>
    <row r="67" spans="1:7" ht="12.5">
      <c r="A67" s="6" t="s">
        <v>39</v>
      </c>
      <c r="B67" s="6" t="s">
        <v>37</v>
      </c>
      <c r="C67" s="6">
        <v>3.53</v>
      </c>
      <c r="D67" s="6">
        <v>28.31</v>
      </c>
      <c r="E67" s="17">
        <v>100</v>
      </c>
      <c r="F67" s="22">
        <v>45154</v>
      </c>
      <c r="G67" s="17">
        <v>-100</v>
      </c>
    </row>
    <row r="68" spans="1:7" ht="12.5">
      <c r="A68" s="6" t="s">
        <v>39</v>
      </c>
      <c r="B68" s="6" t="s">
        <v>37</v>
      </c>
      <c r="C68" s="6">
        <v>3.55</v>
      </c>
      <c r="D68" s="6">
        <v>28.2</v>
      </c>
      <c r="E68" s="17">
        <v>100</v>
      </c>
      <c r="F68" s="22">
        <v>45124</v>
      </c>
      <c r="G68" s="17">
        <v>-100</v>
      </c>
    </row>
    <row r="69" spans="1:7" ht="12.5">
      <c r="A69" s="6" t="s">
        <v>39</v>
      </c>
      <c r="B69" s="6" t="s">
        <v>37</v>
      </c>
      <c r="C69" s="6">
        <v>3.57</v>
      </c>
      <c r="D69" s="6">
        <v>28.04</v>
      </c>
      <c r="E69" s="17">
        <v>100</v>
      </c>
      <c r="F69" s="22">
        <v>45092</v>
      </c>
      <c r="G69" s="17">
        <v>-100</v>
      </c>
    </row>
    <row r="70" spans="1:7" ht="12.5">
      <c r="A70" s="6" t="s">
        <v>39</v>
      </c>
      <c r="B70" s="6" t="s">
        <v>37</v>
      </c>
      <c r="C70" s="6">
        <v>3.59</v>
      </c>
      <c r="D70" s="6">
        <v>27.87</v>
      </c>
      <c r="E70" s="17">
        <v>100</v>
      </c>
      <c r="F70" s="22">
        <v>45061</v>
      </c>
      <c r="G70" s="17">
        <v>-100</v>
      </c>
    </row>
    <row r="71" spans="1:7" ht="12.5">
      <c r="A71" s="6" t="s">
        <v>39</v>
      </c>
      <c r="B71" s="6" t="s">
        <v>37</v>
      </c>
      <c r="C71" s="6">
        <v>3.62</v>
      </c>
      <c r="D71" s="6">
        <v>27.65</v>
      </c>
      <c r="E71" s="17">
        <v>100</v>
      </c>
      <c r="F71" s="22">
        <v>45033</v>
      </c>
      <c r="G71" s="17">
        <v>-100</v>
      </c>
    </row>
    <row r="72" spans="1:7" ht="12.5">
      <c r="A72" s="6" t="s">
        <v>39</v>
      </c>
      <c r="B72" s="6" t="s">
        <v>37</v>
      </c>
      <c r="C72" s="6">
        <v>3.65</v>
      </c>
      <c r="D72" s="6">
        <v>27.36</v>
      </c>
      <c r="E72" s="17">
        <v>100</v>
      </c>
      <c r="F72" s="22">
        <v>45000</v>
      </c>
      <c r="G72" s="17">
        <v>-100</v>
      </c>
    </row>
    <row r="73" spans="1:7" ht="12.5">
      <c r="A73" s="6" t="s">
        <v>39</v>
      </c>
      <c r="B73" s="6" t="s">
        <v>37</v>
      </c>
      <c r="C73" s="6">
        <v>3.68</v>
      </c>
      <c r="D73" s="6">
        <v>27.2</v>
      </c>
      <c r="E73" s="17">
        <v>100</v>
      </c>
      <c r="F73" s="22">
        <v>44960</v>
      </c>
      <c r="G73" s="17">
        <v>-100</v>
      </c>
    </row>
    <row r="74" spans="1:7" ht="12.5">
      <c r="A74" s="6" t="s">
        <v>39</v>
      </c>
      <c r="B74" s="6" t="s">
        <v>37</v>
      </c>
      <c r="C74" s="6">
        <v>16.32</v>
      </c>
      <c r="D74" s="6">
        <v>30.64</v>
      </c>
      <c r="E74" s="6">
        <v>499</v>
      </c>
      <c r="F74" s="22">
        <v>45520</v>
      </c>
      <c r="G74" s="6">
        <v>-499</v>
      </c>
    </row>
    <row r="75" spans="1:7" ht="12.5">
      <c r="A75" s="6" t="s">
        <v>39</v>
      </c>
      <c r="B75" s="6" t="s">
        <v>40</v>
      </c>
      <c r="C75" s="6">
        <v>652.89</v>
      </c>
      <c r="D75" s="6">
        <v>30.63</v>
      </c>
      <c r="E75" s="17">
        <v>20000</v>
      </c>
      <c r="F75" s="22">
        <v>45518</v>
      </c>
      <c r="G75" s="17">
        <v>20000</v>
      </c>
    </row>
    <row r="76" spans="1:7" ht="14.5">
      <c r="A76" s="43" t="s">
        <v>39</v>
      </c>
      <c r="B76" s="6" t="s">
        <v>37</v>
      </c>
      <c r="C76" s="20">
        <v>16.18</v>
      </c>
      <c r="D76" s="20">
        <v>30.89</v>
      </c>
      <c r="E76" s="41">
        <v>499</v>
      </c>
      <c r="F76" s="42">
        <v>45551</v>
      </c>
      <c r="G76" s="6">
        <v>-499</v>
      </c>
    </row>
    <row r="77" spans="1:7" ht="14.5">
      <c r="A77" s="43" t="s">
        <v>39</v>
      </c>
      <c r="B77" s="6" t="s">
        <v>37</v>
      </c>
      <c r="C77" s="20">
        <v>16.059999999999999</v>
      </c>
      <c r="D77" s="20">
        <v>31.14</v>
      </c>
      <c r="E77" s="41">
        <v>499</v>
      </c>
      <c r="F77" s="42">
        <v>45581</v>
      </c>
      <c r="G77" s="6">
        <v>-499</v>
      </c>
    </row>
    <row r="78" spans="1:7" ht="14.5">
      <c r="A78" s="43" t="s">
        <v>39</v>
      </c>
      <c r="B78" s="6" t="s">
        <v>40</v>
      </c>
      <c r="C78" s="20">
        <v>299.91000000000003</v>
      </c>
      <c r="D78" s="20">
        <v>31.16</v>
      </c>
      <c r="E78" s="41">
        <v>9346</v>
      </c>
      <c r="F78" s="42">
        <v>45593</v>
      </c>
      <c r="G78" s="17">
        <v>9346</v>
      </c>
    </row>
    <row r="79" spans="1:7" ht="14.5">
      <c r="A79" s="43" t="s">
        <v>39</v>
      </c>
      <c r="B79" s="6" t="s">
        <v>37</v>
      </c>
      <c r="C79" s="20">
        <v>15.98</v>
      </c>
      <c r="D79" s="20">
        <v>31.29</v>
      </c>
      <c r="E79" s="41">
        <v>499</v>
      </c>
      <c r="F79" s="42">
        <v>45614</v>
      </c>
      <c r="G79" s="6">
        <v>-499</v>
      </c>
    </row>
    <row r="80" spans="1:7" ht="14.5">
      <c r="A80" s="43" t="s">
        <v>39</v>
      </c>
      <c r="B80" s="6" t="s">
        <v>37</v>
      </c>
      <c r="C80" s="20">
        <v>15.88</v>
      </c>
      <c r="D80" s="20">
        <v>31.49</v>
      </c>
      <c r="E80" s="41">
        <v>499</v>
      </c>
      <c r="F80" s="42">
        <v>45642</v>
      </c>
      <c r="G80" s="6">
        <v>-499</v>
      </c>
    </row>
    <row r="81" spans="1:11" ht="14.5">
      <c r="A81" s="89" t="s">
        <v>39</v>
      </c>
      <c r="B81" s="6" t="s">
        <v>37</v>
      </c>
      <c r="C81" s="19">
        <v>15.62</v>
      </c>
      <c r="D81" s="19">
        <v>32.01</v>
      </c>
      <c r="E81" s="44">
        <v>499</v>
      </c>
      <c r="F81" s="90">
        <v>45733</v>
      </c>
      <c r="G81" s="91">
        <v>-499</v>
      </c>
    </row>
    <row r="82" spans="1:11" ht="14.5">
      <c r="A82" s="89" t="s">
        <v>39</v>
      </c>
      <c r="B82" s="6" t="s">
        <v>37</v>
      </c>
      <c r="C82" s="19">
        <v>15.82</v>
      </c>
      <c r="D82" s="19">
        <v>31.6</v>
      </c>
      <c r="E82" s="44">
        <v>499</v>
      </c>
      <c r="F82" s="90">
        <v>45672</v>
      </c>
      <c r="G82" s="91">
        <v>-499</v>
      </c>
    </row>
    <row r="83" spans="1:11" ht="14.5">
      <c r="A83" s="89" t="s">
        <v>39</v>
      </c>
      <c r="B83" s="6" t="s">
        <v>37</v>
      </c>
      <c r="C83" s="19">
        <v>15.69</v>
      </c>
      <c r="D83" s="19">
        <v>31.87</v>
      </c>
      <c r="E83" s="44">
        <v>499</v>
      </c>
      <c r="F83" s="90">
        <v>45705</v>
      </c>
      <c r="G83" s="91">
        <v>-499</v>
      </c>
    </row>
    <row r="84" spans="1:11" ht="14.5">
      <c r="A84" s="43" t="s">
        <v>39</v>
      </c>
      <c r="B84" s="6" t="s">
        <v>37</v>
      </c>
      <c r="C84" s="20">
        <v>15.36</v>
      </c>
      <c r="D84" s="20">
        <v>32.549999999999997</v>
      </c>
      <c r="E84" s="41">
        <v>499</v>
      </c>
      <c r="F84" s="42">
        <v>45762</v>
      </c>
      <c r="G84" s="6">
        <f ca="1">IFERROR(__xludf.DUMMYFUNCTION("IF(E84="""", """", IF(OR(B84=""PURCHASE"", B84=""SWITCH PURCHASE""), E84*-1, E84))
"),-499)</f>
        <v>-499</v>
      </c>
      <c r="H84" s="62"/>
    </row>
    <row r="85" spans="1:11" ht="14.5">
      <c r="A85" s="43" t="s">
        <v>39</v>
      </c>
      <c r="B85" s="6" t="s">
        <v>37</v>
      </c>
      <c r="C85" s="20">
        <v>15.11</v>
      </c>
      <c r="D85" s="20">
        <v>33.090000000000003</v>
      </c>
      <c r="E85" s="41">
        <v>499</v>
      </c>
      <c r="F85" s="42">
        <v>45824</v>
      </c>
      <c r="G85" s="6">
        <f ca="1">IFERROR(__xludf.DUMMYFUNCTION("IF(E85="""", """", IF(OR(B85=""PURCHASE"", B85=""SWITCH PURCHASE""), E85*-1, E85))
"),-499)</f>
        <v>-499</v>
      </c>
      <c r="H85" s="62"/>
    </row>
    <row r="86" spans="1:11" ht="14.5">
      <c r="A86" s="43" t="s">
        <v>39</v>
      </c>
      <c r="B86" s="6" t="s">
        <v>40</v>
      </c>
      <c r="C86" s="20">
        <v>30.57</v>
      </c>
      <c r="D86" s="20">
        <v>33.18</v>
      </c>
      <c r="E86" s="41">
        <v>1014</v>
      </c>
      <c r="F86" s="42">
        <v>45817</v>
      </c>
      <c r="G86" s="17">
        <f ca="1">IFERROR(__xludf.DUMMYFUNCTION("IF(E86="""", """", IF(OR(B86=""PURCHASE"", B86=""SWITCH PURCHASE""), E86*-1, E86))
"),1014)</f>
        <v>1014</v>
      </c>
      <c r="H86" s="62"/>
    </row>
    <row r="87" spans="1:11" ht="14.5">
      <c r="A87" s="43" t="s">
        <v>39</v>
      </c>
      <c r="B87" s="6" t="s">
        <v>37</v>
      </c>
      <c r="C87" s="20">
        <v>15.21</v>
      </c>
      <c r="D87" s="20">
        <v>32.880000000000003</v>
      </c>
      <c r="E87" s="41">
        <v>499</v>
      </c>
      <c r="F87" s="42">
        <v>45792</v>
      </c>
      <c r="G87" s="6">
        <f ca="1">IFERROR(__xludf.DUMMYFUNCTION("IF(E87="""", """", IF(OR(B87=""PURCHASE"", B87=""SWITCH PURCHASE""), E87*-1, E87))
"),-499)</f>
        <v>-499</v>
      </c>
      <c r="H87" s="62"/>
    </row>
    <row r="88" spans="1:11" ht="14.5">
      <c r="A88" s="43" t="s">
        <v>39</v>
      </c>
      <c r="B88" s="6" t="s">
        <v>37</v>
      </c>
      <c r="C88" s="20">
        <v>15.02</v>
      </c>
      <c r="D88" s="20">
        <v>33.29</v>
      </c>
      <c r="E88" s="41">
        <v>499</v>
      </c>
      <c r="F88" s="42">
        <v>45853</v>
      </c>
      <c r="G88" s="6">
        <f ca="1">IFERROR(__xludf.DUMMYFUNCTION("IF(E88="""", """", IF(OR(B88=""PURCHASE"", B88=""SWITCH PURCHASE""), E88*-1, E88))
"),-499)</f>
        <v>-499</v>
      </c>
    </row>
    <row r="89" spans="1:11" ht="12.5">
      <c r="A89" s="87" t="s">
        <v>11</v>
      </c>
      <c r="B89" s="87"/>
      <c r="C89" s="87">
        <f>'MF holdings and transactions'!I303</f>
        <v>30.126999999999999</v>
      </c>
      <c r="D89" s="87">
        <f ca="1">'MF holdings and transactions'!G303</f>
        <v>33.35</v>
      </c>
      <c r="E89" s="87"/>
      <c r="F89" s="88">
        <f ca="1">TODAY()</f>
        <v>45862</v>
      </c>
      <c r="G89" s="92">
        <f ca="1">'MF holdings and transactions'!K303</f>
        <v>1004.73545</v>
      </c>
    </row>
    <row r="90" spans="1:11" ht="14.5">
      <c r="F90" s="27" t="s">
        <v>21</v>
      </c>
      <c r="G90" s="28">
        <f ca="1">XIRR(G55:G89,F55:F89)</f>
        <v>-0.36254491135478034</v>
      </c>
    </row>
    <row r="91" spans="1:11" ht="14.5">
      <c r="A91" s="70" t="s">
        <v>61</v>
      </c>
    </row>
    <row r="93" spans="1:11" ht="14.5">
      <c r="A93" s="4" t="s">
        <v>29</v>
      </c>
      <c r="B93" s="40" t="s">
        <v>30</v>
      </c>
      <c r="C93" s="27" t="s">
        <v>31</v>
      </c>
      <c r="D93" s="27" t="s">
        <v>32</v>
      </c>
      <c r="E93" s="27" t="s">
        <v>33</v>
      </c>
      <c r="F93" s="27" t="s">
        <v>34</v>
      </c>
      <c r="G93" s="27" t="s">
        <v>35</v>
      </c>
      <c r="H93" s="6"/>
      <c r="I93" s="6"/>
      <c r="J93" s="6" t="s">
        <v>106</v>
      </c>
      <c r="K93" s="6" t="s">
        <v>106</v>
      </c>
    </row>
    <row r="94" spans="1:11" ht="14.5">
      <c r="A94" s="76" t="s">
        <v>44</v>
      </c>
      <c r="B94" s="76" t="s">
        <v>40</v>
      </c>
      <c r="C94" s="45">
        <v>62.06</v>
      </c>
      <c r="D94" s="45">
        <v>126.35</v>
      </c>
      <c r="E94" s="46">
        <v>7784</v>
      </c>
      <c r="F94" s="47">
        <v>45491</v>
      </c>
      <c r="G94" s="17">
        <v>7784</v>
      </c>
    </row>
    <row r="95" spans="1:11" ht="14.5">
      <c r="A95" s="76" t="s">
        <v>44</v>
      </c>
      <c r="B95" s="76" t="s">
        <v>37</v>
      </c>
      <c r="C95" s="48">
        <v>3.92</v>
      </c>
      <c r="D95" s="45">
        <v>127.43</v>
      </c>
      <c r="E95" s="46">
        <v>499</v>
      </c>
      <c r="F95" s="47">
        <v>45489</v>
      </c>
      <c r="G95" s="17">
        <v>-499</v>
      </c>
    </row>
    <row r="96" spans="1:11" ht="12.5">
      <c r="A96" s="6" t="s">
        <v>61</v>
      </c>
      <c r="B96" s="6" t="s">
        <v>37</v>
      </c>
      <c r="C96" s="6">
        <v>4.03</v>
      </c>
      <c r="D96" s="6">
        <v>124</v>
      </c>
      <c r="E96" s="17">
        <v>499</v>
      </c>
      <c r="F96" s="22">
        <v>45462</v>
      </c>
      <c r="G96" s="17">
        <v>-499</v>
      </c>
    </row>
    <row r="97" spans="1:7" ht="12.5">
      <c r="A97" s="6" t="s">
        <v>61</v>
      </c>
      <c r="B97" s="6" t="s">
        <v>37</v>
      </c>
      <c r="C97" s="6">
        <v>4.42</v>
      </c>
      <c r="D97" s="6">
        <v>113.17</v>
      </c>
      <c r="E97" s="17">
        <v>499</v>
      </c>
      <c r="F97" s="22">
        <v>45428</v>
      </c>
      <c r="G97" s="17">
        <v>-499</v>
      </c>
    </row>
    <row r="98" spans="1:7" ht="12.5">
      <c r="A98" s="6" t="s">
        <v>61</v>
      </c>
      <c r="B98" s="6" t="s">
        <v>37</v>
      </c>
      <c r="C98" s="6">
        <v>4.72</v>
      </c>
      <c r="D98" s="6">
        <v>105.98</v>
      </c>
      <c r="E98" s="17">
        <v>499</v>
      </c>
      <c r="F98" s="22">
        <v>45398</v>
      </c>
      <c r="G98" s="17">
        <v>-499</v>
      </c>
    </row>
    <row r="99" spans="1:7" ht="12.5">
      <c r="A99" s="6" t="s">
        <v>61</v>
      </c>
      <c r="B99" s="6" t="s">
        <v>37</v>
      </c>
      <c r="C99" s="6">
        <v>4.9800000000000004</v>
      </c>
      <c r="D99" s="6">
        <v>100.32</v>
      </c>
      <c r="E99" s="17">
        <v>499</v>
      </c>
      <c r="F99" s="22">
        <v>45369</v>
      </c>
      <c r="G99" s="17">
        <v>-499</v>
      </c>
    </row>
    <row r="100" spans="1:7" ht="12.5">
      <c r="A100" s="6" t="s">
        <v>61</v>
      </c>
      <c r="B100" s="6" t="s">
        <v>37</v>
      </c>
      <c r="C100" s="6">
        <v>4.97</v>
      </c>
      <c r="D100" s="6">
        <v>100.52</v>
      </c>
      <c r="E100" s="17">
        <v>499</v>
      </c>
      <c r="F100" s="22">
        <v>45337</v>
      </c>
      <c r="G100" s="17">
        <v>-499</v>
      </c>
    </row>
    <row r="101" spans="1:7" ht="12.5">
      <c r="A101" s="6" t="s">
        <v>61</v>
      </c>
      <c r="B101" s="6" t="s">
        <v>37</v>
      </c>
      <c r="C101" s="6">
        <v>5.03</v>
      </c>
      <c r="D101" s="6">
        <v>99.38</v>
      </c>
      <c r="E101" s="17">
        <v>499</v>
      </c>
      <c r="F101" s="22">
        <v>45306</v>
      </c>
      <c r="G101" s="17">
        <v>-499</v>
      </c>
    </row>
    <row r="102" spans="1:7" ht="12.5">
      <c r="A102" s="6" t="s">
        <v>61</v>
      </c>
      <c r="B102" s="6" t="s">
        <v>37</v>
      </c>
      <c r="C102" s="6">
        <v>5.14</v>
      </c>
      <c r="D102" s="6">
        <v>97.19</v>
      </c>
      <c r="E102" s="17">
        <v>499</v>
      </c>
      <c r="F102" s="22">
        <v>45275</v>
      </c>
      <c r="G102" s="17">
        <v>-499</v>
      </c>
    </row>
    <row r="103" spans="1:7" ht="12.5">
      <c r="A103" s="6" t="s">
        <v>61</v>
      </c>
      <c r="B103" s="6" t="s">
        <v>37</v>
      </c>
      <c r="C103" s="6">
        <v>5.51</v>
      </c>
      <c r="D103" s="6">
        <v>90.8</v>
      </c>
      <c r="E103" s="17">
        <v>499</v>
      </c>
      <c r="F103" s="22">
        <v>45245</v>
      </c>
      <c r="G103" s="17">
        <v>-499</v>
      </c>
    </row>
    <row r="104" spans="1:7" ht="12.5">
      <c r="A104" s="6" t="s">
        <v>61</v>
      </c>
      <c r="B104" s="6" t="s">
        <v>37</v>
      </c>
      <c r="C104" s="6">
        <v>2.21</v>
      </c>
      <c r="D104" s="6">
        <v>90.49</v>
      </c>
      <c r="E104" s="17">
        <v>199</v>
      </c>
      <c r="F104" s="22">
        <v>45215</v>
      </c>
      <c r="G104" s="17">
        <v>-199</v>
      </c>
    </row>
    <row r="105" spans="1:7" ht="12.5">
      <c r="A105" s="6" t="s">
        <v>61</v>
      </c>
      <c r="B105" s="6" t="s">
        <v>37</v>
      </c>
      <c r="C105" s="6">
        <v>2.21</v>
      </c>
      <c r="D105" s="6">
        <v>90.41</v>
      </c>
      <c r="E105" s="17">
        <v>199</v>
      </c>
      <c r="F105" s="22">
        <v>45184</v>
      </c>
      <c r="G105" s="17">
        <v>-199</v>
      </c>
    </row>
    <row r="106" spans="1:7" ht="12.5">
      <c r="A106" s="6" t="s">
        <v>61</v>
      </c>
      <c r="B106" s="6" t="s">
        <v>37</v>
      </c>
      <c r="C106" s="6">
        <v>2.31</v>
      </c>
      <c r="D106" s="6">
        <v>86.54</v>
      </c>
      <c r="E106" s="17">
        <v>199</v>
      </c>
      <c r="F106" s="22">
        <v>45154</v>
      </c>
      <c r="G106" s="17">
        <v>-199</v>
      </c>
    </row>
    <row r="107" spans="1:7" ht="12.5">
      <c r="A107" s="6" t="s">
        <v>61</v>
      </c>
      <c r="B107" s="6" t="s">
        <v>37</v>
      </c>
      <c r="C107" s="6">
        <v>2.34</v>
      </c>
      <c r="D107" s="6">
        <v>85.63</v>
      </c>
      <c r="E107" s="17">
        <v>199</v>
      </c>
      <c r="F107" s="22">
        <v>45124</v>
      </c>
      <c r="G107" s="17">
        <v>-199</v>
      </c>
    </row>
    <row r="108" spans="1:7" ht="12.5">
      <c r="A108" s="6" t="s">
        <v>61</v>
      </c>
      <c r="B108" s="6" t="s">
        <v>37</v>
      </c>
      <c r="C108" s="6">
        <v>2.39</v>
      </c>
      <c r="D108" s="6">
        <v>83.63</v>
      </c>
      <c r="E108" s="17">
        <v>199</v>
      </c>
      <c r="F108" s="22">
        <v>45092</v>
      </c>
      <c r="G108" s="17">
        <v>-199</v>
      </c>
    </row>
    <row r="109" spans="1:7" ht="12.5">
      <c r="A109" s="6" t="s">
        <v>61</v>
      </c>
      <c r="B109" s="6" t="s">
        <v>37</v>
      </c>
      <c r="C109" s="6">
        <v>2.5499999999999998</v>
      </c>
      <c r="D109" s="6">
        <v>78.55</v>
      </c>
      <c r="E109" s="17">
        <v>199</v>
      </c>
      <c r="F109" s="22">
        <v>45061</v>
      </c>
      <c r="G109" s="17">
        <v>-199</v>
      </c>
    </row>
    <row r="110" spans="1:7" ht="12.5">
      <c r="A110" s="6" t="s">
        <v>61</v>
      </c>
      <c r="B110" s="6" t="s">
        <v>37</v>
      </c>
      <c r="C110" s="6">
        <v>2.67</v>
      </c>
      <c r="D110" s="6">
        <v>74.81</v>
      </c>
      <c r="E110" s="17">
        <v>199</v>
      </c>
      <c r="F110" s="22">
        <v>45033</v>
      </c>
      <c r="G110" s="17">
        <v>-199</v>
      </c>
    </row>
    <row r="111" spans="1:7" ht="12.5">
      <c r="A111" s="6" t="s">
        <v>61</v>
      </c>
      <c r="B111" s="6" t="s">
        <v>37</v>
      </c>
      <c r="C111" s="6">
        <v>2.65</v>
      </c>
      <c r="D111" s="6">
        <v>75.55</v>
      </c>
      <c r="E111" s="17">
        <v>199</v>
      </c>
      <c r="F111" s="22">
        <v>44977</v>
      </c>
      <c r="G111" s="17">
        <v>-199</v>
      </c>
    </row>
    <row r="112" spans="1:7" ht="12.5">
      <c r="A112" s="6" t="s">
        <v>61</v>
      </c>
      <c r="B112" s="6" t="s">
        <v>54</v>
      </c>
      <c r="C112" s="6">
        <v>102.16</v>
      </c>
      <c r="D112" s="6">
        <v>77.87</v>
      </c>
      <c r="E112" s="17">
        <v>7955</v>
      </c>
      <c r="F112" s="22">
        <v>44524</v>
      </c>
      <c r="G112" s="17">
        <v>7955</v>
      </c>
    </row>
    <row r="113" spans="1:7" ht="12.5">
      <c r="A113" s="6" t="s">
        <v>61</v>
      </c>
      <c r="B113" s="6" t="s">
        <v>37</v>
      </c>
      <c r="C113" s="6">
        <v>6.13</v>
      </c>
      <c r="D113" s="6">
        <v>81.5</v>
      </c>
      <c r="E113" s="17">
        <v>499</v>
      </c>
      <c r="F113" s="22">
        <v>44515</v>
      </c>
      <c r="G113" s="17">
        <v>-499</v>
      </c>
    </row>
    <row r="114" spans="1:7" ht="12.5">
      <c r="A114" s="6" t="s">
        <v>61</v>
      </c>
      <c r="B114" s="6" t="s">
        <v>37</v>
      </c>
      <c r="C114" s="6">
        <v>6.11</v>
      </c>
      <c r="D114" s="6">
        <v>81.84</v>
      </c>
      <c r="E114" s="17">
        <v>499</v>
      </c>
      <c r="F114" s="22">
        <v>44487</v>
      </c>
      <c r="G114" s="17">
        <v>-499</v>
      </c>
    </row>
    <row r="115" spans="1:7" ht="12.5">
      <c r="A115" s="6" t="s">
        <v>61</v>
      </c>
      <c r="B115" s="6" t="s">
        <v>37</v>
      </c>
      <c r="C115" s="6">
        <v>6.43</v>
      </c>
      <c r="D115" s="6">
        <v>77.7</v>
      </c>
      <c r="E115" s="17">
        <v>499</v>
      </c>
      <c r="F115" s="22">
        <v>44454</v>
      </c>
      <c r="G115" s="17">
        <v>-499</v>
      </c>
    </row>
    <row r="116" spans="1:7" ht="12.5">
      <c r="A116" s="6" t="s">
        <v>61</v>
      </c>
      <c r="B116" s="6" t="s">
        <v>37</v>
      </c>
      <c r="C116" s="6">
        <v>7.03</v>
      </c>
      <c r="D116" s="6">
        <v>71.14</v>
      </c>
      <c r="E116" s="17">
        <v>499</v>
      </c>
      <c r="F116" s="22">
        <v>44424</v>
      </c>
      <c r="G116" s="17">
        <v>-499</v>
      </c>
    </row>
    <row r="117" spans="1:7" ht="12.5">
      <c r="A117" s="6" t="s">
        <v>61</v>
      </c>
      <c r="B117" s="6" t="s">
        <v>37</v>
      </c>
      <c r="C117" s="6">
        <v>7.17</v>
      </c>
      <c r="D117" s="6">
        <v>69.709999999999994</v>
      </c>
      <c r="E117" s="17">
        <v>499</v>
      </c>
      <c r="F117" s="22">
        <v>44392</v>
      </c>
      <c r="G117" s="17">
        <v>-499</v>
      </c>
    </row>
    <row r="118" spans="1:7" ht="12.5">
      <c r="A118" s="6" t="s">
        <v>61</v>
      </c>
      <c r="B118" s="6" t="s">
        <v>37</v>
      </c>
      <c r="C118" s="6">
        <v>7.44</v>
      </c>
      <c r="D118" s="6">
        <v>67.22</v>
      </c>
      <c r="E118" s="17">
        <v>499</v>
      </c>
      <c r="F118" s="22">
        <v>44362</v>
      </c>
      <c r="G118" s="17">
        <v>-499</v>
      </c>
    </row>
    <row r="119" spans="1:7" ht="12.5">
      <c r="A119" s="6" t="s">
        <v>61</v>
      </c>
      <c r="B119" s="6" t="s">
        <v>37</v>
      </c>
      <c r="C119" s="6">
        <v>8.06</v>
      </c>
      <c r="D119" s="6">
        <v>62.06</v>
      </c>
      <c r="E119" s="17">
        <v>499</v>
      </c>
      <c r="F119" s="22">
        <v>44333</v>
      </c>
      <c r="G119" s="17">
        <v>-499</v>
      </c>
    </row>
    <row r="120" spans="1:7" ht="12.5">
      <c r="A120" s="6" t="s">
        <v>61</v>
      </c>
      <c r="B120" s="6" t="s">
        <v>37</v>
      </c>
      <c r="C120" s="6">
        <v>8.41</v>
      </c>
      <c r="D120" s="6">
        <v>59.47</v>
      </c>
      <c r="E120" s="17">
        <v>499</v>
      </c>
      <c r="F120" s="22">
        <v>44301</v>
      </c>
      <c r="G120" s="17">
        <v>-499</v>
      </c>
    </row>
    <row r="121" spans="1:7" ht="12.5">
      <c r="A121" s="6" t="s">
        <v>61</v>
      </c>
      <c r="B121" s="6" t="s">
        <v>37</v>
      </c>
      <c r="C121" s="6">
        <v>8.17</v>
      </c>
      <c r="D121" s="6">
        <v>61.23</v>
      </c>
      <c r="E121" s="17">
        <v>499</v>
      </c>
      <c r="F121" s="22">
        <v>44270</v>
      </c>
      <c r="G121" s="17">
        <v>-499</v>
      </c>
    </row>
    <row r="122" spans="1:7" ht="12.5">
      <c r="A122" s="6" t="s">
        <v>61</v>
      </c>
      <c r="B122" s="6" t="s">
        <v>37</v>
      </c>
      <c r="C122" s="6">
        <v>8.35</v>
      </c>
      <c r="D122" s="6">
        <v>59.91</v>
      </c>
      <c r="E122" s="17">
        <v>499</v>
      </c>
      <c r="F122" s="22">
        <v>44242</v>
      </c>
      <c r="G122" s="17">
        <v>-499</v>
      </c>
    </row>
    <row r="123" spans="1:7" ht="12.5">
      <c r="A123" s="6" t="s">
        <v>61</v>
      </c>
      <c r="B123" s="6" t="s">
        <v>37</v>
      </c>
      <c r="C123" s="6">
        <v>8.9</v>
      </c>
      <c r="D123" s="6">
        <v>56.2</v>
      </c>
      <c r="E123" s="17">
        <v>499</v>
      </c>
      <c r="F123" s="22">
        <v>44211</v>
      </c>
      <c r="G123" s="17">
        <v>-499</v>
      </c>
    </row>
    <row r="124" spans="1:7" ht="12.5">
      <c r="A124" s="6" t="s">
        <v>61</v>
      </c>
      <c r="B124" s="6" t="s">
        <v>37</v>
      </c>
      <c r="C124" s="6">
        <v>9.3000000000000007</v>
      </c>
      <c r="D124" s="6">
        <v>53.76</v>
      </c>
      <c r="E124" s="17">
        <v>499</v>
      </c>
      <c r="F124" s="22">
        <v>44180</v>
      </c>
      <c r="G124" s="17">
        <v>-499</v>
      </c>
    </row>
    <row r="125" spans="1:7" ht="12.5">
      <c r="A125" s="6" t="s">
        <v>61</v>
      </c>
      <c r="B125" s="6" t="s">
        <v>37</v>
      </c>
      <c r="C125" s="6">
        <v>10.67</v>
      </c>
      <c r="D125" s="6">
        <v>46.84</v>
      </c>
      <c r="E125" s="17">
        <v>499</v>
      </c>
      <c r="F125" s="22">
        <v>44126</v>
      </c>
      <c r="G125" s="17">
        <v>-499</v>
      </c>
    </row>
    <row r="126" spans="1:7" ht="12.5">
      <c r="A126" s="87" t="s">
        <v>11</v>
      </c>
      <c r="B126" s="87"/>
      <c r="C126" s="87"/>
      <c r="D126" s="87"/>
      <c r="E126" s="87"/>
      <c r="F126" s="88"/>
      <c r="G126" s="87"/>
    </row>
    <row r="127" spans="1:7" ht="14.5">
      <c r="F127" s="27" t="s">
        <v>21</v>
      </c>
      <c r="G127" s="28" t="e">
        <f>XIRR(G94:G125,F94:F125)</f>
        <v>#NUM!</v>
      </c>
    </row>
    <row r="128" spans="1:7" ht="14.5">
      <c r="A128" s="70" t="s">
        <v>56</v>
      </c>
    </row>
    <row r="130" spans="1:11" ht="14.5">
      <c r="A130" s="4" t="s">
        <v>29</v>
      </c>
      <c r="B130" s="40" t="s">
        <v>30</v>
      </c>
      <c r="C130" s="27" t="s">
        <v>31</v>
      </c>
      <c r="D130" s="27" t="s">
        <v>32</v>
      </c>
      <c r="E130" s="27" t="s">
        <v>33</v>
      </c>
      <c r="F130" s="27" t="s">
        <v>34</v>
      </c>
      <c r="G130" s="27" t="s">
        <v>35</v>
      </c>
      <c r="H130" s="6"/>
      <c r="I130" s="6"/>
      <c r="J130" s="6" t="s">
        <v>106</v>
      </c>
      <c r="K130" s="6" t="s">
        <v>106</v>
      </c>
    </row>
    <row r="131" spans="1:11" ht="12.5">
      <c r="A131" s="6" t="s">
        <v>56</v>
      </c>
      <c r="B131" s="6" t="s">
        <v>54</v>
      </c>
      <c r="C131" s="6">
        <v>194.61</v>
      </c>
      <c r="D131" s="6">
        <v>49.25</v>
      </c>
      <c r="E131" s="17">
        <v>9585</v>
      </c>
      <c r="F131" s="22">
        <v>45310</v>
      </c>
      <c r="G131" s="17">
        <v>9585</v>
      </c>
    </row>
    <row r="132" spans="1:11" ht="12.5">
      <c r="A132" s="6" t="s">
        <v>56</v>
      </c>
      <c r="B132" s="6" t="s">
        <v>37</v>
      </c>
      <c r="C132" s="6">
        <v>4.2300000000000004</v>
      </c>
      <c r="D132" s="6">
        <v>47.26</v>
      </c>
      <c r="E132" s="17">
        <v>199</v>
      </c>
      <c r="F132" s="22">
        <v>45275</v>
      </c>
      <c r="G132" s="17">
        <v>-199</v>
      </c>
    </row>
    <row r="133" spans="1:11" ht="12.5">
      <c r="A133" s="6" t="s">
        <v>56</v>
      </c>
      <c r="B133" s="6" t="s">
        <v>37</v>
      </c>
      <c r="C133" s="6">
        <v>4.67</v>
      </c>
      <c r="D133" s="6">
        <v>42.83</v>
      </c>
      <c r="E133" s="17">
        <v>199</v>
      </c>
      <c r="F133" s="22">
        <v>45245</v>
      </c>
      <c r="G133" s="17">
        <v>-199</v>
      </c>
    </row>
    <row r="134" spans="1:11" ht="12.5">
      <c r="A134" s="6" t="s">
        <v>56</v>
      </c>
      <c r="B134" s="6" t="s">
        <v>37</v>
      </c>
      <c r="C134" s="6">
        <v>4.84</v>
      </c>
      <c r="D134" s="6">
        <v>41.3</v>
      </c>
      <c r="E134" s="17">
        <v>199</v>
      </c>
      <c r="F134" s="22">
        <v>45215</v>
      </c>
      <c r="G134" s="17">
        <v>-199</v>
      </c>
    </row>
    <row r="135" spans="1:11" ht="12.5">
      <c r="A135" s="6" t="s">
        <v>56</v>
      </c>
      <c r="B135" s="6" t="s">
        <v>37</v>
      </c>
      <c r="C135" s="6">
        <v>4.6900000000000004</v>
      </c>
      <c r="D135" s="6">
        <v>42.67</v>
      </c>
      <c r="E135" s="17">
        <v>199</v>
      </c>
      <c r="F135" s="22">
        <v>45184</v>
      </c>
      <c r="G135" s="17">
        <v>-199</v>
      </c>
    </row>
    <row r="136" spans="1:11" ht="12.5">
      <c r="A136" s="6" t="s">
        <v>56</v>
      </c>
      <c r="B136" s="6" t="s">
        <v>37</v>
      </c>
      <c r="C136" s="6">
        <v>5.03</v>
      </c>
      <c r="D136" s="6">
        <v>39.76</v>
      </c>
      <c r="E136" s="17">
        <v>199</v>
      </c>
      <c r="F136" s="22">
        <v>45154</v>
      </c>
      <c r="G136" s="17">
        <v>-199</v>
      </c>
    </row>
    <row r="137" spans="1:11" ht="12.5">
      <c r="A137" s="6" t="s">
        <v>56</v>
      </c>
      <c r="B137" s="6" t="s">
        <v>37</v>
      </c>
      <c r="C137" s="6">
        <v>5.04</v>
      </c>
      <c r="D137" s="6">
        <v>39.69</v>
      </c>
      <c r="E137" s="17">
        <v>199</v>
      </c>
      <c r="F137" s="22">
        <v>45124</v>
      </c>
      <c r="G137" s="17">
        <v>-199</v>
      </c>
    </row>
    <row r="138" spans="1:11" ht="12.5">
      <c r="A138" s="6" t="s">
        <v>56</v>
      </c>
      <c r="B138" s="6" t="s">
        <v>37</v>
      </c>
      <c r="C138" s="6">
        <v>5.39</v>
      </c>
      <c r="D138" s="6">
        <v>37.08</v>
      </c>
      <c r="E138" s="17">
        <v>199</v>
      </c>
      <c r="F138" s="22">
        <v>45092</v>
      </c>
      <c r="G138" s="17">
        <v>-199</v>
      </c>
    </row>
    <row r="139" spans="1:11" ht="12.5">
      <c r="A139" s="6" t="s">
        <v>56</v>
      </c>
      <c r="B139" s="6" t="s">
        <v>37</v>
      </c>
      <c r="C139" s="6">
        <v>5.63</v>
      </c>
      <c r="D139" s="6">
        <v>35.520000000000003</v>
      </c>
      <c r="E139" s="17">
        <v>199</v>
      </c>
      <c r="F139" s="22">
        <v>45061</v>
      </c>
      <c r="G139" s="17">
        <v>-199</v>
      </c>
    </row>
    <row r="140" spans="1:11" ht="12.5">
      <c r="A140" s="6" t="s">
        <v>56</v>
      </c>
      <c r="B140" s="6" t="s">
        <v>37</v>
      </c>
      <c r="C140" s="6">
        <v>5.91</v>
      </c>
      <c r="D140" s="6">
        <v>33.840000000000003</v>
      </c>
      <c r="E140" s="17">
        <v>199</v>
      </c>
      <c r="F140" s="22">
        <v>45033</v>
      </c>
      <c r="G140" s="17">
        <v>-199</v>
      </c>
    </row>
    <row r="141" spans="1:11" ht="12.5">
      <c r="A141" s="6" t="s">
        <v>56</v>
      </c>
      <c r="B141" s="6" t="s">
        <v>37</v>
      </c>
      <c r="C141" s="6">
        <v>5.69</v>
      </c>
      <c r="D141" s="6">
        <v>35.15</v>
      </c>
      <c r="E141" s="17">
        <v>199</v>
      </c>
      <c r="F141" s="22">
        <v>45000</v>
      </c>
      <c r="G141" s="17">
        <v>-199</v>
      </c>
    </row>
    <row r="142" spans="1:11" ht="12.5">
      <c r="A142" s="6" t="s">
        <v>56</v>
      </c>
      <c r="B142" s="6" t="s">
        <v>37</v>
      </c>
      <c r="C142" s="6">
        <v>5.33</v>
      </c>
      <c r="D142" s="6">
        <v>37.549999999999997</v>
      </c>
      <c r="E142" s="17">
        <v>199</v>
      </c>
      <c r="F142" s="22">
        <v>44972</v>
      </c>
      <c r="G142" s="17">
        <v>-199</v>
      </c>
    </row>
    <row r="143" spans="1:11" ht="12.5">
      <c r="A143" s="6" t="s">
        <v>56</v>
      </c>
      <c r="B143" s="6" t="s">
        <v>37</v>
      </c>
      <c r="C143" s="6">
        <v>5.53</v>
      </c>
      <c r="D143" s="6">
        <v>36.19</v>
      </c>
      <c r="E143" s="17">
        <v>199</v>
      </c>
      <c r="F143" s="22">
        <v>44942</v>
      </c>
      <c r="G143" s="17">
        <v>-199</v>
      </c>
    </row>
    <row r="144" spans="1:11" ht="12.5">
      <c r="A144" s="6" t="s">
        <v>56</v>
      </c>
      <c r="B144" s="6" t="s">
        <v>37</v>
      </c>
      <c r="C144" s="6">
        <v>5.63</v>
      </c>
      <c r="D144" s="6">
        <v>35.520000000000003</v>
      </c>
      <c r="E144" s="17">
        <v>199</v>
      </c>
      <c r="F144" s="22">
        <v>44910</v>
      </c>
      <c r="G144" s="17">
        <v>-199</v>
      </c>
    </row>
    <row r="145" spans="1:7" ht="12.5">
      <c r="A145" s="6" t="s">
        <v>56</v>
      </c>
      <c r="B145" s="6" t="s">
        <v>37</v>
      </c>
      <c r="C145" s="6">
        <v>5.41</v>
      </c>
      <c r="D145" s="6">
        <v>36.99</v>
      </c>
      <c r="E145" s="17">
        <v>199</v>
      </c>
      <c r="F145" s="22">
        <v>44880</v>
      </c>
      <c r="G145" s="17">
        <v>-199</v>
      </c>
    </row>
    <row r="146" spans="1:7" ht="12.5">
      <c r="A146" s="6" t="s">
        <v>56</v>
      </c>
      <c r="B146" s="6" t="s">
        <v>37</v>
      </c>
      <c r="C146" s="6">
        <v>5.71</v>
      </c>
      <c r="D146" s="6">
        <v>34.99</v>
      </c>
      <c r="E146" s="17">
        <v>199</v>
      </c>
      <c r="F146" s="22">
        <v>44851</v>
      </c>
      <c r="G146" s="17">
        <v>-199</v>
      </c>
    </row>
    <row r="147" spans="1:7" ht="12.5">
      <c r="A147" s="6" t="s">
        <v>56</v>
      </c>
      <c r="B147" s="6" t="s">
        <v>37</v>
      </c>
      <c r="C147" s="6">
        <v>5.76</v>
      </c>
      <c r="D147" s="6">
        <v>34.700000000000003</v>
      </c>
      <c r="E147" s="17">
        <v>199</v>
      </c>
      <c r="F147" s="22">
        <v>44819</v>
      </c>
      <c r="G147" s="17">
        <v>-199</v>
      </c>
    </row>
    <row r="148" spans="1:7" ht="12.5">
      <c r="A148" s="6" t="s">
        <v>56</v>
      </c>
      <c r="B148" s="6" t="s">
        <v>37</v>
      </c>
      <c r="C148" s="6">
        <v>5.49</v>
      </c>
      <c r="D148" s="6">
        <v>36.450000000000003</v>
      </c>
      <c r="E148" s="17">
        <v>199</v>
      </c>
      <c r="F148" s="22">
        <v>44789</v>
      </c>
      <c r="G148" s="17">
        <v>-199</v>
      </c>
    </row>
    <row r="149" spans="1:7" ht="12.5">
      <c r="A149" s="6" t="s">
        <v>56</v>
      </c>
      <c r="B149" s="6" t="s">
        <v>37</v>
      </c>
      <c r="C149" s="6">
        <v>5.96</v>
      </c>
      <c r="D149" s="6">
        <v>33.57</v>
      </c>
      <c r="E149" s="17">
        <v>199</v>
      </c>
      <c r="F149" s="22">
        <v>44760</v>
      </c>
      <c r="G149" s="17">
        <v>-199</v>
      </c>
    </row>
    <row r="150" spans="1:7" ht="12.5">
      <c r="A150" s="6" t="s">
        <v>56</v>
      </c>
      <c r="B150" s="6" t="s">
        <v>37</v>
      </c>
      <c r="C150" s="6">
        <v>29</v>
      </c>
      <c r="D150" s="6">
        <v>34.479999999999997</v>
      </c>
      <c r="E150" s="17">
        <v>999</v>
      </c>
      <c r="F150" s="22">
        <v>44750</v>
      </c>
      <c r="G150" s="17">
        <v>-999</v>
      </c>
    </row>
    <row r="151" spans="1:7" ht="12.5">
      <c r="A151" s="6" t="s">
        <v>56</v>
      </c>
      <c r="B151" s="6" t="s">
        <v>37</v>
      </c>
      <c r="C151" s="6">
        <v>5.95</v>
      </c>
      <c r="D151" s="6">
        <v>33.61</v>
      </c>
      <c r="E151" s="17">
        <v>199</v>
      </c>
      <c r="F151" s="22">
        <v>44727</v>
      </c>
      <c r="G151" s="17">
        <v>-199</v>
      </c>
    </row>
    <row r="152" spans="1:7" ht="12.5">
      <c r="A152" s="6" t="s">
        <v>56</v>
      </c>
      <c r="B152" s="6" t="s">
        <v>37</v>
      </c>
      <c r="C152" s="6">
        <v>5.7</v>
      </c>
      <c r="D152" s="6">
        <v>35.06</v>
      </c>
      <c r="E152" s="17">
        <v>199</v>
      </c>
      <c r="F152" s="22">
        <v>44697</v>
      </c>
      <c r="G152" s="17">
        <v>-199</v>
      </c>
    </row>
    <row r="153" spans="1:7" ht="12.5">
      <c r="A153" s="6" t="s">
        <v>56</v>
      </c>
      <c r="B153" s="6" t="s">
        <v>37</v>
      </c>
      <c r="C153" s="6">
        <v>5.08</v>
      </c>
      <c r="D153" s="6">
        <v>39.33</v>
      </c>
      <c r="E153" s="17">
        <v>199</v>
      </c>
      <c r="F153" s="22">
        <v>44669</v>
      </c>
      <c r="G153" s="17">
        <v>-199</v>
      </c>
    </row>
    <row r="154" spans="1:7" ht="12.5">
      <c r="A154" s="6" t="s">
        <v>56</v>
      </c>
      <c r="B154" s="6" t="s">
        <v>37</v>
      </c>
      <c r="C154" s="6">
        <v>4.88</v>
      </c>
      <c r="D154" s="6">
        <v>40.94</v>
      </c>
      <c r="E154" s="17">
        <v>199</v>
      </c>
      <c r="F154" s="22">
        <v>44635</v>
      </c>
      <c r="G154" s="17">
        <v>-199</v>
      </c>
    </row>
    <row r="155" spans="1:7" ht="12.5">
      <c r="A155" s="6" t="s">
        <v>56</v>
      </c>
      <c r="B155" s="6" t="s">
        <v>37</v>
      </c>
      <c r="C155" s="6">
        <v>4.91</v>
      </c>
      <c r="D155" s="6">
        <v>40.75</v>
      </c>
      <c r="E155" s="17">
        <v>199</v>
      </c>
      <c r="F155" s="22">
        <v>44607</v>
      </c>
      <c r="G155" s="17">
        <v>-199</v>
      </c>
    </row>
    <row r="156" spans="1:7" ht="12.5">
      <c r="A156" s="6" t="s">
        <v>56</v>
      </c>
      <c r="B156" s="6" t="s">
        <v>37</v>
      </c>
      <c r="C156" s="6">
        <v>4.42</v>
      </c>
      <c r="D156" s="6">
        <v>45.22</v>
      </c>
      <c r="E156" s="17">
        <v>199</v>
      </c>
      <c r="F156" s="22">
        <v>44578</v>
      </c>
      <c r="G156" s="17">
        <v>-199</v>
      </c>
    </row>
    <row r="157" spans="1:7" ht="12.5">
      <c r="A157" s="6" t="s">
        <v>56</v>
      </c>
      <c r="B157" s="6" t="s">
        <v>37</v>
      </c>
      <c r="C157" s="6">
        <v>4.74</v>
      </c>
      <c r="D157" s="6">
        <v>42.21</v>
      </c>
      <c r="E157" s="17">
        <v>199</v>
      </c>
      <c r="F157" s="22">
        <v>44545</v>
      </c>
      <c r="G157" s="17">
        <v>-199</v>
      </c>
    </row>
    <row r="158" spans="1:7" ht="12.5">
      <c r="A158" s="6" t="s">
        <v>56</v>
      </c>
      <c r="B158" s="6" t="s">
        <v>37</v>
      </c>
      <c r="C158" s="6">
        <v>4.6399999999999997</v>
      </c>
      <c r="D158" s="6">
        <v>43.1</v>
      </c>
      <c r="E158" s="17">
        <v>199</v>
      </c>
      <c r="F158" s="22">
        <v>44515</v>
      </c>
      <c r="G158" s="17">
        <v>-199</v>
      </c>
    </row>
    <row r="159" spans="1:7" ht="12.5">
      <c r="A159" s="6" t="s">
        <v>56</v>
      </c>
      <c r="B159" s="6" t="s">
        <v>37</v>
      </c>
      <c r="C159" s="6">
        <v>4.6500000000000004</v>
      </c>
      <c r="D159" s="6">
        <v>42.99</v>
      </c>
      <c r="E159" s="17">
        <v>199</v>
      </c>
      <c r="F159" s="22">
        <v>44487</v>
      </c>
      <c r="G159" s="17">
        <v>-199</v>
      </c>
    </row>
    <row r="160" spans="1:7" ht="12.5">
      <c r="A160" s="6" t="s">
        <v>56</v>
      </c>
      <c r="B160" s="6" t="s">
        <v>37</v>
      </c>
      <c r="C160" s="6">
        <v>4.82</v>
      </c>
      <c r="D160" s="6">
        <v>41.53</v>
      </c>
      <c r="E160" s="17">
        <v>199</v>
      </c>
      <c r="F160" s="22">
        <v>44454</v>
      </c>
      <c r="G160" s="17">
        <v>-199</v>
      </c>
    </row>
    <row r="161" spans="1:11" ht="12.5">
      <c r="A161" s="6" t="s">
        <v>56</v>
      </c>
      <c r="B161" s="6" t="s">
        <v>37</v>
      </c>
      <c r="C161" s="6">
        <v>5.39</v>
      </c>
      <c r="D161" s="6">
        <v>37.07</v>
      </c>
      <c r="E161" s="17">
        <v>199</v>
      </c>
      <c r="F161" s="22">
        <v>44420</v>
      </c>
      <c r="G161" s="17">
        <v>-199</v>
      </c>
    </row>
    <row r="162" spans="1:11" ht="12.5">
      <c r="A162" s="6" t="s">
        <v>56</v>
      </c>
      <c r="B162" s="6" t="s">
        <v>37</v>
      </c>
      <c r="C162" s="6">
        <v>14.48</v>
      </c>
      <c r="D162" s="6">
        <v>34.54</v>
      </c>
      <c r="E162" s="17">
        <v>499</v>
      </c>
      <c r="F162" s="22">
        <v>44393</v>
      </c>
      <c r="G162" s="17">
        <v>-499</v>
      </c>
    </row>
    <row r="163" spans="1:11" ht="12.5">
      <c r="A163" s="6" t="s">
        <v>56</v>
      </c>
      <c r="B163" s="6" t="s">
        <v>40</v>
      </c>
      <c r="C163" s="6">
        <v>22.38</v>
      </c>
      <c r="D163" s="6">
        <v>22.16</v>
      </c>
      <c r="E163" s="17">
        <v>495</v>
      </c>
      <c r="F163" s="22">
        <v>44162</v>
      </c>
      <c r="G163" s="17">
        <v>495</v>
      </c>
    </row>
    <row r="164" spans="1:11" ht="12.5">
      <c r="A164" s="6" t="s">
        <v>56</v>
      </c>
      <c r="B164" s="6" t="s">
        <v>37</v>
      </c>
      <c r="C164" s="6">
        <v>22.38</v>
      </c>
      <c r="D164" s="6">
        <v>22.34</v>
      </c>
      <c r="E164" s="17">
        <v>499</v>
      </c>
      <c r="F164" s="22">
        <v>44126</v>
      </c>
      <c r="G164" s="17">
        <v>-499</v>
      </c>
    </row>
    <row r="165" spans="1:11" ht="12.5">
      <c r="A165" s="87" t="s">
        <v>11</v>
      </c>
      <c r="B165" s="87"/>
      <c r="C165" s="87">
        <v>-5.6843418860808015E-14</v>
      </c>
      <c r="D165" s="87"/>
      <c r="E165" s="87"/>
      <c r="F165" s="88"/>
      <c r="G165" s="87"/>
    </row>
    <row r="166" spans="1:11" ht="14.5">
      <c r="F166" s="27" t="s">
        <v>21</v>
      </c>
      <c r="G166" s="28">
        <v>0.21102948016729375</v>
      </c>
    </row>
    <row r="167" spans="1:11" ht="14.5">
      <c r="A167" s="70" t="s">
        <v>68</v>
      </c>
    </row>
    <row r="169" spans="1:11" ht="14.5">
      <c r="A169" s="4" t="s">
        <v>29</v>
      </c>
      <c r="B169" s="40" t="s">
        <v>30</v>
      </c>
      <c r="C169" s="27" t="s">
        <v>31</v>
      </c>
      <c r="D169" s="27" t="s">
        <v>32</v>
      </c>
      <c r="E169" s="27" t="s">
        <v>33</v>
      </c>
      <c r="F169" s="27" t="s">
        <v>34</v>
      </c>
      <c r="G169" s="27" t="s">
        <v>35</v>
      </c>
      <c r="H169" s="6"/>
      <c r="I169" s="6"/>
      <c r="J169" s="6" t="s">
        <v>106</v>
      </c>
      <c r="K169" s="6" t="s">
        <v>106</v>
      </c>
    </row>
    <row r="170" spans="1:11" ht="12.5">
      <c r="A170" s="6" t="s">
        <v>68</v>
      </c>
      <c r="B170" s="6" t="s">
        <v>54</v>
      </c>
      <c r="C170" s="6">
        <v>265.72000000000003</v>
      </c>
      <c r="D170" s="6">
        <v>14.41</v>
      </c>
      <c r="E170" s="17">
        <v>3830</v>
      </c>
      <c r="F170" s="22">
        <v>44376</v>
      </c>
      <c r="G170" s="17">
        <v>3830</v>
      </c>
    </row>
    <row r="171" spans="1:11" ht="12.5">
      <c r="A171" s="6" t="s">
        <v>68</v>
      </c>
      <c r="B171" s="6" t="s">
        <v>37</v>
      </c>
      <c r="C171" s="6">
        <v>35.369999999999997</v>
      </c>
      <c r="D171" s="6">
        <v>14.14</v>
      </c>
      <c r="E171" s="17">
        <v>499</v>
      </c>
      <c r="F171" s="22">
        <v>44362</v>
      </c>
      <c r="G171" s="17">
        <v>-499</v>
      </c>
    </row>
    <row r="172" spans="1:11" ht="12.5">
      <c r="A172" s="6" t="s">
        <v>68</v>
      </c>
      <c r="B172" s="6" t="s">
        <v>37</v>
      </c>
      <c r="C172" s="6">
        <v>36.08</v>
      </c>
      <c r="D172" s="6">
        <v>13.86</v>
      </c>
      <c r="E172" s="17">
        <v>499</v>
      </c>
      <c r="F172" s="22">
        <v>44333</v>
      </c>
      <c r="G172" s="17">
        <v>-499</v>
      </c>
    </row>
    <row r="173" spans="1:11" ht="12.5">
      <c r="A173" s="6" t="s">
        <v>68</v>
      </c>
      <c r="B173" s="6" t="s">
        <v>37</v>
      </c>
      <c r="C173" s="6">
        <v>35.65</v>
      </c>
      <c r="D173" s="6">
        <v>14.02</v>
      </c>
      <c r="E173" s="17">
        <v>499</v>
      </c>
      <c r="F173" s="22">
        <v>44301</v>
      </c>
      <c r="G173" s="17">
        <v>-499</v>
      </c>
    </row>
    <row r="174" spans="1:11" ht="12.5">
      <c r="A174" s="6" t="s">
        <v>68</v>
      </c>
      <c r="B174" s="6" t="s">
        <v>37</v>
      </c>
      <c r="C174" s="6">
        <v>38.6</v>
      </c>
      <c r="D174" s="6">
        <v>12.95</v>
      </c>
      <c r="E174" s="17">
        <v>499</v>
      </c>
      <c r="F174" s="22">
        <v>44270</v>
      </c>
      <c r="G174" s="17">
        <v>-499</v>
      </c>
    </row>
    <row r="175" spans="1:11" ht="12.5">
      <c r="A175" s="6" t="s">
        <v>68</v>
      </c>
      <c r="B175" s="6" t="s">
        <v>37</v>
      </c>
      <c r="C175" s="6">
        <v>38.65</v>
      </c>
      <c r="D175" s="6">
        <v>12.94</v>
      </c>
      <c r="E175" s="17">
        <v>499</v>
      </c>
      <c r="F175" s="22">
        <v>44242</v>
      </c>
      <c r="G175" s="17">
        <v>-499</v>
      </c>
    </row>
    <row r="176" spans="1:11" ht="12.5">
      <c r="A176" s="6" t="s">
        <v>68</v>
      </c>
      <c r="B176" s="6" t="s">
        <v>37</v>
      </c>
      <c r="C176" s="6">
        <v>40.57</v>
      </c>
      <c r="D176" s="6">
        <v>12.32</v>
      </c>
      <c r="E176" s="17">
        <v>499</v>
      </c>
      <c r="F176" s="22">
        <v>44181</v>
      </c>
      <c r="G176" s="17">
        <v>-499</v>
      </c>
    </row>
    <row r="177" spans="1:11" ht="12.5">
      <c r="A177" s="6" t="s">
        <v>68</v>
      </c>
      <c r="B177" s="6" t="s">
        <v>37</v>
      </c>
      <c r="C177" s="6">
        <v>40.81</v>
      </c>
      <c r="D177" s="6">
        <v>12.25</v>
      </c>
      <c r="E177" s="17">
        <v>499</v>
      </c>
      <c r="F177" s="22">
        <v>44169</v>
      </c>
      <c r="G177" s="17">
        <v>-499</v>
      </c>
    </row>
    <row r="178" spans="1:11" ht="12.5">
      <c r="A178" s="87" t="s">
        <v>11</v>
      </c>
      <c r="B178" s="87"/>
      <c r="C178" s="87">
        <v>0</v>
      </c>
      <c r="D178" s="87"/>
      <c r="E178" s="87"/>
      <c r="F178" s="88"/>
      <c r="G178" s="87"/>
    </row>
    <row r="179" spans="1:11" ht="14.5">
      <c r="F179" s="27" t="s">
        <v>21</v>
      </c>
      <c r="G179" s="28">
        <v>0.34843260988691027</v>
      </c>
    </row>
    <row r="180" spans="1:11" ht="14.5">
      <c r="A180" s="70" t="s">
        <v>45</v>
      </c>
    </row>
    <row r="182" spans="1:11" ht="14.5">
      <c r="A182" s="4" t="s">
        <v>29</v>
      </c>
      <c r="B182" s="40" t="s">
        <v>30</v>
      </c>
      <c r="C182" s="27" t="s">
        <v>31</v>
      </c>
      <c r="D182" s="27" t="s">
        <v>32</v>
      </c>
      <c r="E182" s="27" t="s">
        <v>33</v>
      </c>
      <c r="F182" s="27" t="s">
        <v>34</v>
      </c>
      <c r="G182" s="27" t="s">
        <v>35</v>
      </c>
      <c r="H182" s="6"/>
      <c r="I182" s="6"/>
      <c r="J182" s="6" t="s">
        <v>106</v>
      </c>
      <c r="K182" s="6" t="s">
        <v>106</v>
      </c>
    </row>
    <row r="183" spans="1:11" ht="14.5">
      <c r="A183" s="76" t="s">
        <v>45</v>
      </c>
      <c r="B183" s="76" t="s">
        <v>40</v>
      </c>
      <c r="C183" s="45">
        <v>23.72</v>
      </c>
      <c r="D183" s="45">
        <v>116.7</v>
      </c>
      <c r="E183" s="46">
        <v>2742</v>
      </c>
      <c r="F183" s="47">
        <v>45491</v>
      </c>
      <c r="G183" s="17">
        <v>2742</v>
      </c>
    </row>
    <row r="184" spans="1:11" ht="14.5">
      <c r="A184" s="76" t="s">
        <v>45</v>
      </c>
      <c r="B184" s="76" t="s">
        <v>37</v>
      </c>
      <c r="C184" s="48">
        <v>4.26</v>
      </c>
      <c r="D184" s="45">
        <v>117.27</v>
      </c>
      <c r="E184" s="46">
        <v>499</v>
      </c>
      <c r="F184" s="47">
        <v>45489</v>
      </c>
      <c r="G184" s="17">
        <v>-499</v>
      </c>
    </row>
    <row r="185" spans="1:11" ht="12.5">
      <c r="A185" s="6" t="s">
        <v>45</v>
      </c>
      <c r="B185" s="6" t="s">
        <v>37</v>
      </c>
      <c r="C185" s="6">
        <v>4.43</v>
      </c>
      <c r="D185" s="6">
        <v>112.88</v>
      </c>
      <c r="E185" s="17">
        <v>499</v>
      </c>
      <c r="F185" s="22">
        <v>45462</v>
      </c>
      <c r="G185" s="17">
        <v>-499</v>
      </c>
    </row>
    <row r="186" spans="1:11" ht="12.5">
      <c r="A186" s="6" t="s">
        <v>45</v>
      </c>
      <c r="B186" s="6" t="s">
        <v>37</v>
      </c>
      <c r="C186" s="6">
        <v>4.8</v>
      </c>
      <c r="D186" s="6">
        <v>104.16</v>
      </c>
      <c r="E186" s="17">
        <v>499</v>
      </c>
      <c r="F186" s="22">
        <v>45428</v>
      </c>
      <c r="G186" s="17">
        <v>-499</v>
      </c>
    </row>
    <row r="187" spans="1:11" ht="12.5">
      <c r="A187" s="6" t="s">
        <v>45</v>
      </c>
      <c r="B187" s="6" t="s">
        <v>37</v>
      </c>
      <c r="C187" s="6">
        <v>4.97</v>
      </c>
      <c r="D187" s="6">
        <v>100.66</v>
      </c>
      <c r="E187" s="17">
        <v>499</v>
      </c>
      <c r="F187" s="22">
        <v>45398</v>
      </c>
      <c r="G187" s="17">
        <v>-499</v>
      </c>
    </row>
    <row r="188" spans="1:11" ht="12.5">
      <c r="A188" s="6" t="s">
        <v>45</v>
      </c>
      <c r="B188" s="6" t="s">
        <v>37</v>
      </c>
      <c r="C188" s="6">
        <v>5.26</v>
      </c>
      <c r="D188" s="6">
        <v>95.08</v>
      </c>
      <c r="E188" s="17">
        <v>499</v>
      </c>
      <c r="F188" s="22">
        <v>45366</v>
      </c>
      <c r="G188" s="17">
        <v>-499</v>
      </c>
    </row>
    <row r="189" spans="1:11" ht="12.5">
      <c r="A189" s="6" t="s">
        <v>45</v>
      </c>
      <c r="B189" s="6" t="s">
        <v>54</v>
      </c>
      <c r="C189" s="6">
        <v>317.83</v>
      </c>
      <c r="D189" s="6">
        <v>98.64</v>
      </c>
      <c r="E189" s="17">
        <v>31350</v>
      </c>
      <c r="F189" s="22">
        <v>45358</v>
      </c>
      <c r="G189" s="17">
        <v>31350</v>
      </c>
    </row>
    <row r="190" spans="1:11" ht="12.5">
      <c r="A190" s="6" t="s">
        <v>45</v>
      </c>
      <c r="B190" s="6" t="s">
        <v>37</v>
      </c>
      <c r="C190" s="6">
        <v>4.9800000000000004</v>
      </c>
      <c r="D190" s="6">
        <v>100.36</v>
      </c>
      <c r="E190" s="17">
        <v>499</v>
      </c>
      <c r="F190" s="22">
        <v>45337</v>
      </c>
      <c r="G190" s="17">
        <v>-499</v>
      </c>
    </row>
    <row r="191" spans="1:11" ht="12.5">
      <c r="A191" s="6" t="s">
        <v>45</v>
      </c>
      <c r="B191" s="6" t="s">
        <v>37</v>
      </c>
      <c r="C191" s="6">
        <v>5.04</v>
      </c>
      <c r="D191" s="6">
        <v>99.11</v>
      </c>
      <c r="E191" s="17">
        <v>499</v>
      </c>
      <c r="F191" s="22">
        <v>45306</v>
      </c>
      <c r="G191" s="17">
        <v>-499</v>
      </c>
    </row>
    <row r="192" spans="1:11" ht="12.5">
      <c r="A192" s="6" t="s">
        <v>45</v>
      </c>
      <c r="B192" s="6" t="s">
        <v>37</v>
      </c>
      <c r="C192" s="6">
        <v>5.2</v>
      </c>
      <c r="D192" s="6">
        <v>96.17</v>
      </c>
      <c r="E192" s="17">
        <v>499</v>
      </c>
      <c r="F192" s="22">
        <v>45275</v>
      </c>
      <c r="G192" s="17">
        <v>-499</v>
      </c>
    </row>
    <row r="193" spans="1:7" ht="12.5">
      <c r="A193" s="6" t="s">
        <v>45</v>
      </c>
      <c r="B193" s="6" t="s">
        <v>37</v>
      </c>
      <c r="C193" s="6">
        <v>5.44</v>
      </c>
      <c r="D193" s="6">
        <v>91.87</v>
      </c>
      <c r="E193" s="17">
        <v>499</v>
      </c>
      <c r="F193" s="22">
        <v>45245</v>
      </c>
      <c r="G193" s="17">
        <v>-499</v>
      </c>
    </row>
    <row r="194" spans="1:7" ht="12.5">
      <c r="A194" s="6" t="s">
        <v>45</v>
      </c>
      <c r="B194" s="6" t="s">
        <v>37</v>
      </c>
      <c r="C194" s="6">
        <v>5.61</v>
      </c>
      <c r="D194" s="6">
        <v>89.15</v>
      </c>
      <c r="E194" s="17">
        <v>499</v>
      </c>
      <c r="F194" s="22">
        <v>45215</v>
      </c>
      <c r="G194" s="17">
        <v>-499</v>
      </c>
    </row>
    <row r="195" spans="1:7" ht="12.5">
      <c r="A195" s="6" t="s">
        <v>45</v>
      </c>
      <c r="B195" s="6" t="s">
        <v>37</v>
      </c>
      <c r="C195" s="6">
        <v>5.62</v>
      </c>
      <c r="D195" s="6">
        <v>89.01</v>
      </c>
      <c r="E195" s="17">
        <v>499</v>
      </c>
      <c r="F195" s="22">
        <v>45184</v>
      </c>
      <c r="G195" s="17">
        <v>-499</v>
      </c>
    </row>
    <row r="196" spans="1:7" ht="12.5">
      <c r="A196" s="6" t="s">
        <v>45</v>
      </c>
      <c r="B196" s="6" t="s">
        <v>37</v>
      </c>
      <c r="C196" s="6">
        <v>5.96</v>
      </c>
      <c r="D196" s="6">
        <v>83.95</v>
      </c>
      <c r="E196" s="17">
        <v>499</v>
      </c>
      <c r="F196" s="22">
        <v>45154</v>
      </c>
      <c r="G196" s="17">
        <v>-499</v>
      </c>
    </row>
    <row r="197" spans="1:7" ht="12.5">
      <c r="A197" s="6" t="s">
        <v>45</v>
      </c>
      <c r="B197" s="6" t="s">
        <v>37</v>
      </c>
      <c r="C197" s="6">
        <v>5.99</v>
      </c>
      <c r="D197" s="6">
        <v>83.5</v>
      </c>
      <c r="E197" s="17">
        <v>499</v>
      </c>
      <c r="F197" s="22">
        <v>45124</v>
      </c>
      <c r="G197" s="17">
        <v>-499</v>
      </c>
    </row>
    <row r="198" spans="1:7" ht="12.5">
      <c r="A198" s="6" t="s">
        <v>45</v>
      </c>
      <c r="B198" s="6" t="s">
        <v>37</v>
      </c>
      <c r="C198" s="6">
        <v>6.18</v>
      </c>
      <c r="D198" s="6">
        <v>80.92</v>
      </c>
      <c r="E198" s="17">
        <v>499</v>
      </c>
      <c r="F198" s="22">
        <v>45092</v>
      </c>
      <c r="G198" s="17">
        <v>-499</v>
      </c>
    </row>
    <row r="199" spans="1:7" ht="12.5">
      <c r="A199" s="6" t="s">
        <v>45</v>
      </c>
      <c r="B199" s="6" t="s">
        <v>37</v>
      </c>
      <c r="C199" s="6">
        <v>6.69</v>
      </c>
      <c r="D199" s="6">
        <v>74.78</v>
      </c>
      <c r="E199" s="17">
        <v>499</v>
      </c>
      <c r="F199" s="22">
        <v>45061</v>
      </c>
      <c r="G199" s="17">
        <v>-499</v>
      </c>
    </row>
    <row r="200" spans="1:7" ht="12.5">
      <c r="A200" s="6" t="s">
        <v>45</v>
      </c>
      <c r="B200" s="6" t="s">
        <v>37</v>
      </c>
      <c r="C200" s="6">
        <v>7.01</v>
      </c>
      <c r="D200" s="6">
        <v>71.31</v>
      </c>
      <c r="E200" s="17">
        <v>499</v>
      </c>
      <c r="F200" s="22">
        <v>45033</v>
      </c>
      <c r="G200" s="17">
        <v>-499</v>
      </c>
    </row>
    <row r="201" spans="1:7" ht="12.5">
      <c r="A201" s="6" t="s">
        <v>45</v>
      </c>
      <c r="B201" s="6" t="s">
        <v>37</v>
      </c>
      <c r="C201" s="6">
        <v>7.25</v>
      </c>
      <c r="D201" s="6">
        <v>69.010000000000005</v>
      </c>
      <c r="E201" s="17">
        <v>499</v>
      </c>
      <c r="F201" s="22">
        <v>45000</v>
      </c>
      <c r="G201" s="17">
        <v>-499</v>
      </c>
    </row>
    <row r="202" spans="1:7" ht="12.5">
      <c r="A202" s="6" t="s">
        <v>45</v>
      </c>
      <c r="B202" s="6" t="s">
        <v>37</v>
      </c>
      <c r="C202" s="6">
        <v>7.04</v>
      </c>
      <c r="D202" s="6">
        <v>71.05</v>
      </c>
      <c r="E202" s="17">
        <v>499</v>
      </c>
      <c r="F202" s="22">
        <v>44972</v>
      </c>
      <c r="G202" s="17">
        <v>-499</v>
      </c>
    </row>
    <row r="203" spans="1:7" ht="12.5">
      <c r="A203" s="6" t="s">
        <v>45</v>
      </c>
      <c r="B203" s="6" t="s">
        <v>37</v>
      </c>
      <c r="C203" s="6">
        <v>14.04</v>
      </c>
      <c r="D203" s="6">
        <v>71.239999999999995</v>
      </c>
      <c r="E203" s="17">
        <v>999</v>
      </c>
      <c r="F203" s="22">
        <v>44960</v>
      </c>
      <c r="G203" s="17">
        <v>-999</v>
      </c>
    </row>
    <row r="204" spans="1:7" ht="12.5">
      <c r="A204" s="6" t="s">
        <v>45</v>
      </c>
      <c r="B204" s="6" t="s">
        <v>37</v>
      </c>
      <c r="C204" s="6">
        <v>6.99</v>
      </c>
      <c r="D204" s="6">
        <v>71.52</v>
      </c>
      <c r="E204" s="17">
        <v>499</v>
      </c>
      <c r="F204" s="22">
        <v>44942</v>
      </c>
      <c r="G204" s="17">
        <v>-499</v>
      </c>
    </row>
    <row r="205" spans="1:7" ht="12.5">
      <c r="A205" s="6" t="s">
        <v>45</v>
      </c>
      <c r="B205" s="6" t="s">
        <v>37</v>
      </c>
      <c r="C205" s="6">
        <v>6.89</v>
      </c>
      <c r="D205" s="6">
        <v>72.510000000000005</v>
      </c>
      <c r="E205" s="17">
        <v>499</v>
      </c>
      <c r="F205" s="22">
        <v>44910</v>
      </c>
      <c r="G205" s="17">
        <v>-499</v>
      </c>
    </row>
    <row r="206" spans="1:7" ht="12.5">
      <c r="A206" s="6" t="s">
        <v>45</v>
      </c>
      <c r="B206" s="6" t="s">
        <v>37</v>
      </c>
      <c r="C206" s="6">
        <v>7</v>
      </c>
      <c r="D206" s="6">
        <v>71.48</v>
      </c>
      <c r="E206" s="17">
        <v>499</v>
      </c>
      <c r="F206" s="22">
        <v>44880</v>
      </c>
      <c r="G206" s="17">
        <v>-499</v>
      </c>
    </row>
    <row r="207" spans="1:7" ht="12.5">
      <c r="A207" s="6" t="s">
        <v>45</v>
      </c>
      <c r="B207" s="6" t="s">
        <v>37</v>
      </c>
      <c r="C207" s="6">
        <v>7</v>
      </c>
      <c r="D207" s="6">
        <v>71.459999999999994</v>
      </c>
      <c r="E207" s="17">
        <v>499</v>
      </c>
      <c r="F207" s="22">
        <v>44851</v>
      </c>
      <c r="G207" s="17">
        <v>-499</v>
      </c>
    </row>
    <row r="208" spans="1:7" ht="12.5">
      <c r="A208" s="6" t="s">
        <v>45</v>
      </c>
      <c r="B208" s="6" t="s">
        <v>37</v>
      </c>
      <c r="C208" s="6">
        <v>6.86</v>
      </c>
      <c r="D208" s="6">
        <v>72.94</v>
      </c>
      <c r="E208" s="17">
        <v>499</v>
      </c>
      <c r="F208" s="22">
        <v>44819</v>
      </c>
      <c r="G208" s="17">
        <v>-499</v>
      </c>
    </row>
    <row r="209" spans="1:11" ht="12.5">
      <c r="A209" s="6" t="s">
        <v>45</v>
      </c>
      <c r="B209" s="6" t="s">
        <v>37</v>
      </c>
      <c r="C209" s="6">
        <v>7.2</v>
      </c>
      <c r="D209" s="6">
        <v>69.459999999999994</v>
      </c>
      <c r="E209" s="17">
        <v>499</v>
      </c>
      <c r="F209" s="22">
        <v>44790</v>
      </c>
      <c r="G209" s="17">
        <v>-499</v>
      </c>
    </row>
    <row r="210" spans="1:11" ht="12.5">
      <c r="A210" s="6" t="s">
        <v>45</v>
      </c>
      <c r="B210" s="6" t="s">
        <v>37</v>
      </c>
      <c r="C210" s="6">
        <v>7.73</v>
      </c>
      <c r="D210" s="6">
        <v>64.650000000000006</v>
      </c>
      <c r="E210" s="17">
        <v>499</v>
      </c>
      <c r="F210" s="22">
        <v>44760</v>
      </c>
      <c r="G210" s="17">
        <v>-499</v>
      </c>
    </row>
    <row r="211" spans="1:11" ht="12.5">
      <c r="A211" s="6" t="s">
        <v>45</v>
      </c>
      <c r="B211" s="6" t="s">
        <v>37</v>
      </c>
      <c r="C211" s="6">
        <v>8.0399999999999991</v>
      </c>
      <c r="D211" s="6">
        <v>62.15</v>
      </c>
      <c r="E211" s="17">
        <v>499</v>
      </c>
      <c r="F211" s="22">
        <v>44727</v>
      </c>
      <c r="G211" s="17">
        <v>-499</v>
      </c>
    </row>
    <row r="212" spans="1:11" ht="12.5">
      <c r="A212" s="6" t="s">
        <v>45</v>
      </c>
      <c r="B212" s="6" t="s">
        <v>37</v>
      </c>
      <c r="C212" s="6">
        <v>8.02</v>
      </c>
      <c r="D212" s="6">
        <v>62.31</v>
      </c>
      <c r="E212" s="17">
        <v>499</v>
      </c>
      <c r="F212" s="22">
        <v>44697</v>
      </c>
      <c r="G212" s="17">
        <v>-499</v>
      </c>
    </row>
    <row r="213" spans="1:11" ht="12.5">
      <c r="A213" s="6" t="s">
        <v>45</v>
      </c>
      <c r="B213" s="6" t="s">
        <v>37</v>
      </c>
      <c r="C213" s="6">
        <v>7.3</v>
      </c>
      <c r="D213" s="6">
        <v>68.47</v>
      </c>
      <c r="E213" s="17">
        <v>499</v>
      </c>
      <c r="F213" s="22">
        <v>44669</v>
      </c>
      <c r="G213" s="17">
        <v>-499</v>
      </c>
    </row>
    <row r="214" spans="1:11" ht="12.5">
      <c r="A214" s="6" t="s">
        <v>45</v>
      </c>
      <c r="B214" s="6" t="s">
        <v>37</v>
      </c>
      <c r="C214" s="6">
        <v>7.68</v>
      </c>
      <c r="D214" s="6">
        <v>65.08</v>
      </c>
      <c r="E214" s="17">
        <v>499</v>
      </c>
      <c r="F214" s="22">
        <v>44635</v>
      </c>
      <c r="G214" s="17">
        <v>-499</v>
      </c>
    </row>
    <row r="215" spans="1:11" ht="12.5">
      <c r="A215" s="6" t="s">
        <v>45</v>
      </c>
      <c r="B215" s="6" t="s">
        <v>37</v>
      </c>
      <c r="C215" s="6">
        <v>7.54</v>
      </c>
      <c r="D215" s="6">
        <v>66.34</v>
      </c>
      <c r="E215" s="17">
        <v>499</v>
      </c>
      <c r="F215" s="22">
        <v>44607</v>
      </c>
      <c r="G215" s="17">
        <v>-499</v>
      </c>
    </row>
    <row r="216" spans="1:11" ht="12.5">
      <c r="A216" s="6" t="s">
        <v>45</v>
      </c>
      <c r="B216" s="6" t="s">
        <v>37</v>
      </c>
      <c r="C216" s="6">
        <v>7.01</v>
      </c>
      <c r="D216" s="6">
        <v>71.28</v>
      </c>
      <c r="E216" s="17">
        <v>499</v>
      </c>
      <c r="F216" s="22">
        <v>44578</v>
      </c>
      <c r="G216" s="17">
        <v>-499</v>
      </c>
    </row>
    <row r="217" spans="1:11" ht="12.5">
      <c r="A217" s="6" t="s">
        <v>45</v>
      </c>
      <c r="B217" s="6" t="s">
        <v>37</v>
      </c>
      <c r="C217" s="6">
        <v>7.38</v>
      </c>
      <c r="D217" s="6">
        <v>67.709999999999994</v>
      </c>
      <c r="E217" s="17">
        <v>499</v>
      </c>
      <c r="F217" s="22">
        <v>44543</v>
      </c>
      <c r="G217" s="17">
        <v>-499</v>
      </c>
    </row>
    <row r="218" spans="1:11" ht="12.5">
      <c r="A218" s="6" t="s">
        <v>45</v>
      </c>
      <c r="B218" s="6" t="s">
        <v>52</v>
      </c>
      <c r="C218" s="6">
        <v>123.14</v>
      </c>
      <c r="D218" s="6">
        <v>64.599999999999994</v>
      </c>
      <c r="E218" s="17">
        <v>7955</v>
      </c>
      <c r="F218" s="22">
        <v>44524</v>
      </c>
      <c r="G218" s="17">
        <v>-7955</v>
      </c>
    </row>
    <row r="219" spans="1:11" ht="12.5">
      <c r="A219" s="87" t="s">
        <v>11</v>
      </c>
      <c r="B219" s="87"/>
      <c r="C219" s="87"/>
      <c r="D219" s="87"/>
      <c r="E219" s="87"/>
      <c r="F219" s="88"/>
      <c r="G219" s="87"/>
    </row>
    <row r="220" spans="1:11" ht="14.5">
      <c r="F220" s="27" t="s">
        <v>21</v>
      </c>
      <c r="G220" s="28">
        <f>XIRR(G183:G218,F183:F218)</f>
        <v>2.9802322387695314E-9</v>
      </c>
    </row>
    <row r="221" spans="1:11" ht="14.5">
      <c r="A221" s="70" t="s">
        <v>53</v>
      </c>
    </row>
    <row r="223" spans="1:11" ht="14.5">
      <c r="A223" s="4" t="s">
        <v>29</v>
      </c>
      <c r="B223" s="40" t="s">
        <v>30</v>
      </c>
      <c r="C223" s="27" t="s">
        <v>31</v>
      </c>
      <c r="D223" s="27" t="s">
        <v>32</v>
      </c>
      <c r="E223" s="27" t="s">
        <v>33</v>
      </c>
      <c r="F223" s="27" t="s">
        <v>34</v>
      </c>
      <c r="G223" s="27" t="s">
        <v>35</v>
      </c>
      <c r="H223" s="6"/>
      <c r="I223" s="6"/>
      <c r="J223" s="6" t="s">
        <v>106</v>
      </c>
      <c r="K223" s="6" t="s">
        <v>106</v>
      </c>
    </row>
    <row r="224" spans="1:11" ht="14.5">
      <c r="A224" s="6" t="s">
        <v>53</v>
      </c>
      <c r="B224" s="76" t="s">
        <v>37</v>
      </c>
      <c r="C224" s="48">
        <v>13.96</v>
      </c>
      <c r="D224" s="45">
        <v>35.81</v>
      </c>
      <c r="E224" s="46">
        <v>499</v>
      </c>
      <c r="F224" s="47">
        <v>45489</v>
      </c>
      <c r="G224" s="17">
        <v>-499</v>
      </c>
    </row>
    <row r="225" spans="1:7" ht="12.5">
      <c r="A225" s="6" t="s">
        <v>53</v>
      </c>
      <c r="B225" s="6" t="s">
        <v>37</v>
      </c>
      <c r="C225" s="6">
        <v>14.44</v>
      </c>
      <c r="D225" s="6">
        <v>34.619999999999997</v>
      </c>
      <c r="E225" s="17">
        <v>499</v>
      </c>
      <c r="F225" s="22">
        <v>45462</v>
      </c>
      <c r="G225" s="17">
        <v>-499</v>
      </c>
    </row>
    <row r="226" spans="1:7" ht="12.5">
      <c r="A226" s="6" t="s">
        <v>53</v>
      </c>
      <c r="B226" s="6" t="s">
        <v>37</v>
      </c>
      <c r="C226" s="6">
        <v>15.59</v>
      </c>
      <c r="D226" s="6">
        <v>32.07</v>
      </c>
      <c r="E226" s="17">
        <v>499</v>
      </c>
      <c r="F226" s="22">
        <v>45428</v>
      </c>
      <c r="G226" s="17">
        <v>-499</v>
      </c>
    </row>
    <row r="227" spans="1:7" ht="12.5">
      <c r="A227" s="6" t="s">
        <v>53</v>
      </c>
      <c r="B227" s="6" t="s">
        <v>37</v>
      </c>
      <c r="C227" s="6">
        <v>15.83</v>
      </c>
      <c r="D227" s="6">
        <v>31.59</v>
      </c>
      <c r="E227" s="17">
        <v>499</v>
      </c>
      <c r="F227" s="22">
        <v>45397</v>
      </c>
      <c r="G227" s="17">
        <v>-499</v>
      </c>
    </row>
    <row r="228" spans="1:7" ht="12.5">
      <c r="A228" s="6" t="s">
        <v>53</v>
      </c>
      <c r="B228" s="6" t="s">
        <v>37</v>
      </c>
      <c r="C228" s="6">
        <v>16.149999999999999</v>
      </c>
      <c r="D228" s="6">
        <v>30.96</v>
      </c>
      <c r="E228" s="17">
        <v>499</v>
      </c>
      <c r="F228" s="22">
        <v>45366</v>
      </c>
      <c r="G228" s="17">
        <v>-499</v>
      </c>
    </row>
    <row r="229" spans="1:7" ht="12.5">
      <c r="A229" s="6" t="s">
        <v>53</v>
      </c>
      <c r="B229" s="6" t="s">
        <v>54</v>
      </c>
      <c r="C229" s="6">
        <v>635.66</v>
      </c>
      <c r="D229" s="6">
        <v>31.2</v>
      </c>
      <c r="E229" s="17">
        <v>19835</v>
      </c>
      <c r="F229" s="22">
        <v>45358</v>
      </c>
      <c r="G229" s="17">
        <v>19835</v>
      </c>
    </row>
    <row r="230" spans="1:7" ht="12.5">
      <c r="A230" s="6" t="s">
        <v>53</v>
      </c>
      <c r="B230" s="6" t="s">
        <v>37</v>
      </c>
      <c r="C230" s="6">
        <v>16.3</v>
      </c>
      <c r="D230" s="6">
        <v>30.68</v>
      </c>
      <c r="E230" s="17">
        <v>499</v>
      </c>
      <c r="F230" s="22">
        <v>45337</v>
      </c>
      <c r="G230" s="17">
        <v>-499</v>
      </c>
    </row>
    <row r="231" spans="1:7" ht="12.5">
      <c r="A231" s="6" t="s">
        <v>53</v>
      </c>
      <c r="B231" s="6" t="s">
        <v>37</v>
      </c>
      <c r="C231" s="6">
        <v>17.21</v>
      </c>
      <c r="D231" s="6">
        <v>29.04</v>
      </c>
      <c r="E231" s="17">
        <v>499</v>
      </c>
      <c r="F231" s="22">
        <v>45306</v>
      </c>
      <c r="G231" s="17">
        <v>-499</v>
      </c>
    </row>
    <row r="232" spans="1:7" ht="12.5">
      <c r="A232" s="6" t="s">
        <v>53</v>
      </c>
      <c r="B232" s="6" t="s">
        <v>37</v>
      </c>
      <c r="C232" s="6">
        <v>17.420000000000002</v>
      </c>
      <c r="D232" s="6">
        <v>28.7</v>
      </c>
      <c r="E232" s="17">
        <v>499</v>
      </c>
      <c r="F232" s="22">
        <v>45275</v>
      </c>
      <c r="G232" s="17">
        <v>-499</v>
      </c>
    </row>
    <row r="233" spans="1:7" ht="12.5">
      <c r="A233" s="6" t="s">
        <v>53</v>
      </c>
      <c r="B233" s="6" t="s">
        <v>37</v>
      </c>
      <c r="C233" s="6">
        <v>18.32</v>
      </c>
      <c r="D233" s="6">
        <v>27.3</v>
      </c>
      <c r="E233" s="17">
        <v>499</v>
      </c>
      <c r="F233" s="22">
        <v>45245</v>
      </c>
      <c r="G233" s="17">
        <v>-499</v>
      </c>
    </row>
    <row r="234" spans="1:7" ht="12.5">
      <c r="A234" s="6" t="s">
        <v>53</v>
      </c>
      <c r="B234" s="6" t="s">
        <v>37</v>
      </c>
      <c r="C234" s="6">
        <v>19.170000000000002</v>
      </c>
      <c r="D234" s="6">
        <v>26.08</v>
      </c>
      <c r="E234" s="17">
        <v>499</v>
      </c>
      <c r="F234" s="22">
        <v>45215</v>
      </c>
      <c r="G234" s="17">
        <v>-499</v>
      </c>
    </row>
    <row r="235" spans="1:7" ht="12.5">
      <c r="A235" s="6" t="s">
        <v>53</v>
      </c>
      <c r="B235" s="6" t="s">
        <v>37</v>
      </c>
      <c r="C235" s="6">
        <v>18.78</v>
      </c>
      <c r="D235" s="6">
        <v>26.62</v>
      </c>
      <c r="E235" s="17">
        <v>499</v>
      </c>
      <c r="F235" s="22">
        <v>45184</v>
      </c>
      <c r="G235" s="17">
        <v>-499</v>
      </c>
    </row>
    <row r="236" spans="1:7" ht="12.5">
      <c r="A236" s="6" t="s">
        <v>53</v>
      </c>
      <c r="B236" s="6" t="s">
        <v>37</v>
      </c>
      <c r="C236" s="6">
        <v>19.46</v>
      </c>
      <c r="D236" s="6">
        <v>25.69</v>
      </c>
      <c r="E236" s="17">
        <v>499</v>
      </c>
      <c r="F236" s="22">
        <v>45154</v>
      </c>
      <c r="G236" s="17">
        <v>-499</v>
      </c>
    </row>
    <row r="237" spans="1:7" ht="12.5">
      <c r="A237" s="6" t="s">
        <v>53</v>
      </c>
      <c r="B237" s="6" t="s">
        <v>37</v>
      </c>
      <c r="C237" s="6">
        <v>18.86</v>
      </c>
      <c r="D237" s="6">
        <v>26.51</v>
      </c>
      <c r="E237" s="17">
        <v>499</v>
      </c>
      <c r="F237" s="22">
        <v>45124</v>
      </c>
      <c r="G237" s="17">
        <v>-499</v>
      </c>
    </row>
    <row r="238" spans="1:7" ht="12.5">
      <c r="A238" s="6" t="s">
        <v>53</v>
      </c>
      <c r="B238" s="6" t="s">
        <v>37</v>
      </c>
      <c r="C238" s="6">
        <v>19.37</v>
      </c>
      <c r="D238" s="6">
        <v>25.81</v>
      </c>
      <c r="E238" s="17">
        <v>499</v>
      </c>
      <c r="F238" s="22">
        <v>45092</v>
      </c>
      <c r="G238" s="17">
        <v>-499</v>
      </c>
    </row>
    <row r="239" spans="1:7" ht="12.5">
      <c r="A239" s="6" t="s">
        <v>53</v>
      </c>
      <c r="B239" s="6" t="s">
        <v>37</v>
      </c>
      <c r="C239" s="6">
        <v>21.96</v>
      </c>
      <c r="D239" s="6">
        <v>22.77</v>
      </c>
      <c r="E239" s="17">
        <v>499</v>
      </c>
      <c r="F239" s="22">
        <v>45061</v>
      </c>
      <c r="G239" s="17">
        <v>-499</v>
      </c>
    </row>
    <row r="240" spans="1:7" ht="12.5">
      <c r="A240" s="6" t="s">
        <v>53</v>
      </c>
      <c r="B240" s="6" t="s">
        <v>37</v>
      </c>
      <c r="C240" s="6">
        <v>22.53</v>
      </c>
      <c r="D240" s="6">
        <v>22.2</v>
      </c>
      <c r="E240" s="17">
        <v>499</v>
      </c>
      <c r="F240" s="22">
        <v>45033</v>
      </c>
      <c r="G240" s="17">
        <v>-499</v>
      </c>
    </row>
    <row r="241" spans="1:7" ht="12.5">
      <c r="A241" s="6" t="s">
        <v>53</v>
      </c>
      <c r="B241" s="6" t="s">
        <v>37</v>
      </c>
      <c r="C241" s="6">
        <v>23.76</v>
      </c>
      <c r="D241" s="6">
        <v>21.04</v>
      </c>
      <c r="E241" s="17">
        <v>499</v>
      </c>
      <c r="F241" s="22">
        <v>45000</v>
      </c>
      <c r="G241" s="17">
        <v>-499</v>
      </c>
    </row>
    <row r="242" spans="1:7" ht="12.5">
      <c r="A242" s="6" t="s">
        <v>53</v>
      </c>
      <c r="B242" s="6" t="s">
        <v>37</v>
      </c>
      <c r="C242" s="6">
        <v>23.23</v>
      </c>
      <c r="D242" s="6">
        <v>21.52</v>
      </c>
      <c r="E242" s="17">
        <v>499</v>
      </c>
      <c r="F242" s="22">
        <v>44972</v>
      </c>
      <c r="G242" s="17">
        <v>-499</v>
      </c>
    </row>
    <row r="243" spans="1:7" ht="12.5">
      <c r="A243" s="6" t="s">
        <v>53</v>
      </c>
      <c r="B243" s="6" t="s">
        <v>37</v>
      </c>
      <c r="C243" s="6">
        <v>25.24</v>
      </c>
      <c r="D243" s="6">
        <v>19.809999999999999</v>
      </c>
      <c r="E243" s="17">
        <v>499</v>
      </c>
      <c r="F243" s="22">
        <v>44942</v>
      </c>
      <c r="G243" s="17">
        <v>-499</v>
      </c>
    </row>
    <row r="244" spans="1:7" ht="12.5">
      <c r="A244" s="6" t="s">
        <v>53</v>
      </c>
      <c r="B244" s="6" t="s">
        <v>37</v>
      </c>
      <c r="C244" s="6">
        <v>23.48</v>
      </c>
      <c r="D244" s="6">
        <v>21.29</v>
      </c>
      <c r="E244" s="17">
        <v>499</v>
      </c>
      <c r="F244" s="22">
        <v>44635</v>
      </c>
      <c r="G244" s="17">
        <v>-499</v>
      </c>
    </row>
    <row r="245" spans="1:7" ht="12.5">
      <c r="A245" s="6" t="s">
        <v>53</v>
      </c>
      <c r="B245" s="6" t="s">
        <v>37</v>
      </c>
      <c r="C245" s="6">
        <v>21.49</v>
      </c>
      <c r="D245" s="6">
        <v>23.27</v>
      </c>
      <c r="E245" s="17">
        <v>499</v>
      </c>
      <c r="F245" s="22">
        <v>44607</v>
      </c>
      <c r="G245" s="17">
        <v>-499</v>
      </c>
    </row>
    <row r="246" spans="1:7" ht="12.5">
      <c r="A246" s="6" t="s">
        <v>53</v>
      </c>
      <c r="B246" s="6" t="s">
        <v>37</v>
      </c>
      <c r="C246" s="6">
        <v>20.47</v>
      </c>
      <c r="D246" s="6">
        <v>24.42</v>
      </c>
      <c r="E246" s="17">
        <v>499</v>
      </c>
      <c r="F246" s="22">
        <v>44578</v>
      </c>
      <c r="G246" s="17">
        <v>-499</v>
      </c>
    </row>
    <row r="247" spans="1:7" ht="12.5">
      <c r="A247" s="6" t="s">
        <v>53</v>
      </c>
      <c r="B247" s="6" t="s">
        <v>37</v>
      </c>
      <c r="C247" s="6">
        <v>19.66</v>
      </c>
      <c r="D247" s="6">
        <v>25.42</v>
      </c>
      <c r="E247" s="17">
        <v>499</v>
      </c>
      <c r="F247" s="22">
        <v>44545</v>
      </c>
      <c r="G247" s="17">
        <v>-499</v>
      </c>
    </row>
    <row r="248" spans="1:7" ht="12.5">
      <c r="A248" s="6" t="s">
        <v>53</v>
      </c>
      <c r="B248" s="6" t="s">
        <v>37</v>
      </c>
      <c r="C248" s="6">
        <v>19.71</v>
      </c>
      <c r="D248" s="6">
        <v>25.37</v>
      </c>
      <c r="E248" s="17">
        <v>499</v>
      </c>
      <c r="F248" s="22">
        <v>44515</v>
      </c>
      <c r="G248" s="17">
        <v>-499</v>
      </c>
    </row>
    <row r="249" spans="1:7" ht="12.5">
      <c r="A249" s="6" t="s">
        <v>53</v>
      </c>
      <c r="B249" s="6" t="s">
        <v>37</v>
      </c>
      <c r="C249" s="6">
        <v>20.98</v>
      </c>
      <c r="D249" s="6">
        <v>23.83</v>
      </c>
      <c r="E249" s="17">
        <v>499</v>
      </c>
      <c r="F249" s="22">
        <v>44487</v>
      </c>
      <c r="G249" s="17">
        <v>-499</v>
      </c>
    </row>
    <row r="250" spans="1:7" ht="12.5">
      <c r="A250" s="6" t="s">
        <v>53</v>
      </c>
      <c r="B250" s="6" t="s">
        <v>37</v>
      </c>
      <c r="C250" s="6">
        <v>20.83</v>
      </c>
      <c r="D250" s="6">
        <v>24</v>
      </c>
      <c r="E250" s="17">
        <v>499</v>
      </c>
      <c r="F250" s="22">
        <v>44454</v>
      </c>
      <c r="G250" s="17">
        <v>-499</v>
      </c>
    </row>
    <row r="251" spans="1:7" ht="12.5">
      <c r="A251" s="6" t="s">
        <v>53</v>
      </c>
      <c r="B251" s="6" t="s">
        <v>37</v>
      </c>
      <c r="C251" s="6">
        <v>20.97</v>
      </c>
      <c r="D251" s="6">
        <v>23.85</v>
      </c>
      <c r="E251" s="17">
        <v>499</v>
      </c>
      <c r="F251" s="22">
        <v>44424</v>
      </c>
      <c r="G251" s="17">
        <v>-499</v>
      </c>
    </row>
    <row r="252" spans="1:7" ht="12.5">
      <c r="A252" s="6" t="s">
        <v>53</v>
      </c>
      <c r="B252" s="6" t="s">
        <v>37</v>
      </c>
      <c r="C252" s="6">
        <v>21.41</v>
      </c>
      <c r="D252" s="6">
        <v>23.35</v>
      </c>
      <c r="E252" s="17">
        <v>499</v>
      </c>
      <c r="F252" s="22">
        <v>44393</v>
      </c>
      <c r="G252" s="17">
        <v>-499</v>
      </c>
    </row>
    <row r="253" spans="1:7" ht="12.5">
      <c r="A253" s="6" t="s">
        <v>53</v>
      </c>
      <c r="B253" s="6" t="s">
        <v>52</v>
      </c>
      <c r="C253" s="6">
        <v>165.04</v>
      </c>
      <c r="D253" s="6">
        <v>23.21</v>
      </c>
      <c r="E253" s="17">
        <v>3830</v>
      </c>
      <c r="F253" s="22">
        <v>44376</v>
      </c>
      <c r="G253" s="17">
        <v>-3830</v>
      </c>
    </row>
    <row r="254" spans="1:7" ht="12.5">
      <c r="A254" s="6" t="s">
        <v>41</v>
      </c>
      <c r="B254" s="6" t="s">
        <v>37</v>
      </c>
      <c r="C254" s="6">
        <v>14.71</v>
      </c>
      <c r="D254" s="6">
        <v>34</v>
      </c>
      <c r="E254" s="17">
        <v>499</v>
      </c>
      <c r="F254" s="22">
        <v>45520</v>
      </c>
      <c r="G254" s="6">
        <v>-499</v>
      </c>
    </row>
    <row r="255" spans="1:7" ht="14.5">
      <c r="A255" s="43" t="s">
        <v>41</v>
      </c>
      <c r="B255" s="6" t="s">
        <v>37</v>
      </c>
      <c r="C255" s="45">
        <v>14.76</v>
      </c>
      <c r="D255" s="45">
        <v>33.880000000000003</v>
      </c>
      <c r="E255" s="46">
        <v>499</v>
      </c>
      <c r="F255" s="47">
        <v>45551</v>
      </c>
      <c r="G255" s="93">
        <v>-499</v>
      </c>
    </row>
    <row r="256" spans="1:7" ht="14.5">
      <c r="A256" s="43" t="s">
        <v>41</v>
      </c>
      <c r="B256" s="6" t="s">
        <v>37</v>
      </c>
      <c r="C256" s="20">
        <v>14.2</v>
      </c>
      <c r="D256" s="20">
        <v>35.21</v>
      </c>
      <c r="E256" s="41">
        <v>499</v>
      </c>
      <c r="F256" s="42">
        <v>45581</v>
      </c>
      <c r="G256" s="6">
        <v>-499</v>
      </c>
    </row>
    <row r="257" spans="1:11" ht="14.5">
      <c r="A257" s="43" t="s">
        <v>41</v>
      </c>
      <c r="B257" s="6" t="s">
        <v>37</v>
      </c>
      <c r="C257" s="20">
        <v>13.88</v>
      </c>
      <c r="D257" s="20">
        <v>36.04</v>
      </c>
      <c r="E257" s="41">
        <v>499</v>
      </c>
      <c r="F257" s="42">
        <v>45614</v>
      </c>
      <c r="G257" s="6">
        <v>-499</v>
      </c>
    </row>
    <row r="258" spans="1:11" ht="14.5">
      <c r="A258" s="43" t="s">
        <v>41</v>
      </c>
      <c r="B258" s="6" t="s">
        <v>37</v>
      </c>
      <c r="C258" s="20">
        <v>11.33</v>
      </c>
      <c r="D258" s="20">
        <v>44.13</v>
      </c>
      <c r="E258" s="41">
        <v>499</v>
      </c>
      <c r="F258" s="42">
        <v>45642</v>
      </c>
      <c r="G258" s="6">
        <v>-499</v>
      </c>
    </row>
    <row r="259" spans="1:11" ht="12.5">
      <c r="A259" s="87" t="s">
        <v>11</v>
      </c>
      <c r="B259" s="87"/>
      <c r="C259" s="87">
        <f>'MF holdings and transactions'!I302</f>
        <v>144.83600000000001</v>
      </c>
      <c r="D259" s="87">
        <f ca="1">'MF holdings and transactions'!G302</f>
        <v>41.95</v>
      </c>
      <c r="E259" s="87"/>
      <c r="F259" s="88">
        <f ca="1">TODAY()</f>
        <v>45862</v>
      </c>
      <c r="G259" s="92">
        <f ca="1">'MF holdings and transactions'!K302</f>
        <v>6075.8702000000012</v>
      </c>
    </row>
    <row r="260" spans="1:11" ht="14.5">
      <c r="F260" s="27" t="s">
        <v>21</v>
      </c>
      <c r="G260" s="28">
        <f ca="1">XIRR(G224:G259,F224:F259)</f>
        <v>0.17147888541221615</v>
      </c>
    </row>
    <row r="261" spans="1:11" ht="14.5">
      <c r="A261" s="70" t="s">
        <v>59</v>
      </c>
    </row>
    <row r="263" spans="1:11" ht="14.5">
      <c r="A263" s="4" t="s">
        <v>29</v>
      </c>
      <c r="B263" s="40" t="s">
        <v>30</v>
      </c>
      <c r="C263" s="27" t="s">
        <v>31</v>
      </c>
      <c r="D263" s="27" t="s">
        <v>32</v>
      </c>
      <c r="E263" s="27" t="s">
        <v>33</v>
      </c>
      <c r="F263" s="27" t="s">
        <v>34</v>
      </c>
      <c r="G263" s="27" t="s">
        <v>35</v>
      </c>
      <c r="H263" s="6"/>
      <c r="I263" s="6"/>
      <c r="J263" s="6" t="s">
        <v>106</v>
      </c>
      <c r="K263" s="6" t="s">
        <v>106</v>
      </c>
    </row>
    <row r="264" spans="1:11" ht="12.5">
      <c r="A264" s="6" t="s">
        <v>59</v>
      </c>
      <c r="B264" s="6" t="s">
        <v>54</v>
      </c>
      <c r="C264" s="6">
        <v>794.59</v>
      </c>
      <c r="D264" s="6">
        <v>23.34</v>
      </c>
      <c r="E264" s="17">
        <v>18541</v>
      </c>
      <c r="F264" s="22">
        <v>45310</v>
      </c>
      <c r="G264" s="17">
        <v>18541</v>
      </c>
    </row>
    <row r="265" spans="1:11" ht="12.5">
      <c r="A265" s="6" t="s">
        <v>59</v>
      </c>
      <c r="B265" s="6" t="s">
        <v>37</v>
      </c>
      <c r="C265" s="6">
        <v>8.6</v>
      </c>
      <c r="D265" s="6">
        <v>23.27</v>
      </c>
      <c r="E265" s="17">
        <v>199</v>
      </c>
      <c r="F265" s="22">
        <v>45275</v>
      </c>
      <c r="G265" s="17">
        <v>-199</v>
      </c>
    </row>
    <row r="266" spans="1:11" ht="12.5">
      <c r="A266" s="6" t="s">
        <v>59</v>
      </c>
      <c r="B266" s="6" t="s">
        <v>37</v>
      </c>
      <c r="C266" s="6">
        <v>9.36</v>
      </c>
      <c r="D266" s="6">
        <v>21.38</v>
      </c>
      <c r="E266" s="17">
        <v>199</v>
      </c>
      <c r="F266" s="22">
        <v>45245</v>
      </c>
      <c r="G266" s="17">
        <v>-199</v>
      </c>
    </row>
    <row r="267" spans="1:11" ht="12.5">
      <c r="A267" s="6" t="s">
        <v>59</v>
      </c>
      <c r="B267" s="6" t="s">
        <v>37</v>
      </c>
      <c r="C267" s="6">
        <v>23.16</v>
      </c>
      <c r="D267" s="6">
        <v>21.59</v>
      </c>
      <c r="E267" s="17">
        <v>499</v>
      </c>
      <c r="F267" s="22">
        <v>45215</v>
      </c>
      <c r="G267" s="17">
        <v>-499</v>
      </c>
    </row>
    <row r="268" spans="1:11" ht="12.5">
      <c r="A268" s="6" t="s">
        <v>59</v>
      </c>
      <c r="B268" s="6" t="s">
        <v>37</v>
      </c>
      <c r="C268" s="6">
        <v>22.67</v>
      </c>
      <c r="D268" s="6">
        <v>22.05</v>
      </c>
      <c r="E268" s="17">
        <v>499</v>
      </c>
      <c r="F268" s="22">
        <v>45184</v>
      </c>
      <c r="G268" s="17">
        <v>-499</v>
      </c>
    </row>
    <row r="269" spans="1:11" ht="12.5">
      <c r="A269" s="6" t="s">
        <v>59</v>
      </c>
      <c r="B269" s="6" t="s">
        <v>37</v>
      </c>
      <c r="C269" s="6">
        <v>23.61</v>
      </c>
      <c r="D269" s="6">
        <v>21.17</v>
      </c>
      <c r="E269" s="17">
        <v>499</v>
      </c>
      <c r="F269" s="22">
        <v>45154</v>
      </c>
      <c r="G269" s="17">
        <v>-499</v>
      </c>
    </row>
    <row r="270" spans="1:11" ht="12.5">
      <c r="A270" s="6" t="s">
        <v>59</v>
      </c>
      <c r="B270" s="6" t="s">
        <v>37</v>
      </c>
      <c r="C270" s="6">
        <v>23.16</v>
      </c>
      <c r="D270" s="6">
        <v>21.59</v>
      </c>
      <c r="E270" s="17">
        <v>499</v>
      </c>
      <c r="F270" s="22">
        <v>45124</v>
      </c>
      <c r="G270" s="17">
        <v>-499</v>
      </c>
    </row>
    <row r="271" spans="1:11" ht="12.5">
      <c r="A271" s="6" t="s">
        <v>59</v>
      </c>
      <c r="B271" s="6" t="s">
        <v>37</v>
      </c>
      <c r="C271" s="6">
        <v>24.36</v>
      </c>
      <c r="D271" s="6">
        <v>20.53</v>
      </c>
      <c r="E271" s="17">
        <v>499</v>
      </c>
      <c r="F271" s="22">
        <v>45092</v>
      </c>
      <c r="G271" s="17">
        <v>-499</v>
      </c>
    </row>
    <row r="272" spans="1:11" ht="12.5">
      <c r="A272" s="6" t="s">
        <v>59</v>
      </c>
      <c r="B272" s="6" t="s">
        <v>37</v>
      </c>
      <c r="C272" s="6">
        <v>24.88</v>
      </c>
      <c r="D272" s="6">
        <v>20.09</v>
      </c>
      <c r="E272" s="17">
        <v>499</v>
      </c>
      <c r="F272" s="22">
        <v>45061</v>
      </c>
      <c r="G272" s="17">
        <v>-499</v>
      </c>
    </row>
    <row r="273" spans="1:7" ht="12.5">
      <c r="A273" s="6" t="s">
        <v>59</v>
      </c>
      <c r="B273" s="6" t="s">
        <v>37</v>
      </c>
      <c r="C273" s="6">
        <v>25.9</v>
      </c>
      <c r="D273" s="6">
        <v>19.309999999999999</v>
      </c>
      <c r="E273" s="17">
        <v>499</v>
      </c>
      <c r="F273" s="22">
        <v>45033</v>
      </c>
      <c r="G273" s="17">
        <v>-499</v>
      </c>
    </row>
    <row r="274" spans="1:7" ht="12.5">
      <c r="A274" s="6" t="s">
        <v>59</v>
      </c>
      <c r="B274" s="6" t="s">
        <v>37</v>
      </c>
      <c r="C274" s="6">
        <v>26.94</v>
      </c>
      <c r="D274" s="6">
        <v>18.559999999999999</v>
      </c>
      <c r="E274" s="17">
        <v>499</v>
      </c>
      <c r="F274" s="22">
        <v>45000</v>
      </c>
      <c r="G274" s="17">
        <v>-499</v>
      </c>
    </row>
    <row r="275" spans="1:7" ht="12.5">
      <c r="A275" s="6" t="s">
        <v>59</v>
      </c>
      <c r="B275" s="6" t="s">
        <v>37</v>
      </c>
      <c r="C275" s="6">
        <v>25.28</v>
      </c>
      <c r="D275" s="6">
        <v>19.78</v>
      </c>
      <c r="E275" s="17">
        <v>499</v>
      </c>
      <c r="F275" s="22">
        <v>44972</v>
      </c>
      <c r="G275" s="17">
        <v>-499</v>
      </c>
    </row>
    <row r="276" spans="1:7" ht="12.5">
      <c r="A276" s="6" t="s">
        <v>59</v>
      </c>
      <c r="B276" s="6" t="s">
        <v>37</v>
      </c>
      <c r="C276" s="6">
        <v>25.83</v>
      </c>
      <c r="D276" s="6">
        <v>19.36</v>
      </c>
      <c r="E276" s="17">
        <v>499</v>
      </c>
      <c r="F276" s="22">
        <v>44942</v>
      </c>
      <c r="G276" s="17">
        <v>-499</v>
      </c>
    </row>
    <row r="277" spans="1:7" ht="12.5">
      <c r="A277" s="6" t="s">
        <v>59</v>
      </c>
      <c r="B277" s="6" t="s">
        <v>37</v>
      </c>
      <c r="C277" s="6">
        <v>25.3</v>
      </c>
      <c r="D277" s="6">
        <v>19.760000000000002</v>
      </c>
      <c r="E277" s="17">
        <v>499</v>
      </c>
      <c r="F277" s="22">
        <v>44910</v>
      </c>
      <c r="G277" s="17">
        <v>-499</v>
      </c>
    </row>
    <row r="278" spans="1:7" ht="12.5">
      <c r="A278" s="6" t="s">
        <v>59</v>
      </c>
      <c r="B278" s="6" t="s">
        <v>37</v>
      </c>
      <c r="C278" s="6">
        <v>25.08</v>
      </c>
      <c r="D278" s="6">
        <v>19.940000000000001</v>
      </c>
      <c r="E278" s="17">
        <v>499</v>
      </c>
      <c r="F278" s="22">
        <v>44880</v>
      </c>
      <c r="G278" s="17">
        <v>-499</v>
      </c>
    </row>
    <row r="279" spans="1:7" ht="12.5">
      <c r="A279" s="6" t="s">
        <v>59</v>
      </c>
      <c r="B279" s="6" t="s">
        <v>37</v>
      </c>
      <c r="C279" s="6">
        <v>26.36</v>
      </c>
      <c r="D279" s="6">
        <v>18.97</v>
      </c>
      <c r="E279" s="17">
        <v>499</v>
      </c>
      <c r="F279" s="22">
        <v>44851</v>
      </c>
      <c r="G279" s="17">
        <v>-499</v>
      </c>
    </row>
    <row r="280" spans="1:7" ht="12.5">
      <c r="A280" s="6" t="s">
        <v>59</v>
      </c>
      <c r="B280" s="6" t="s">
        <v>37</v>
      </c>
      <c r="C280" s="6">
        <v>25.93</v>
      </c>
      <c r="D280" s="6">
        <v>19.29</v>
      </c>
      <c r="E280" s="17">
        <v>499</v>
      </c>
      <c r="F280" s="22">
        <v>44819</v>
      </c>
      <c r="G280" s="17">
        <v>-499</v>
      </c>
    </row>
    <row r="281" spans="1:7" ht="12.5">
      <c r="A281" s="6" t="s">
        <v>59</v>
      </c>
      <c r="B281" s="6" t="s">
        <v>37</v>
      </c>
      <c r="C281" s="6">
        <v>25.97</v>
      </c>
      <c r="D281" s="6">
        <v>19.25</v>
      </c>
      <c r="E281" s="17">
        <v>499</v>
      </c>
      <c r="F281" s="22">
        <v>44789</v>
      </c>
      <c r="G281" s="17">
        <v>-499</v>
      </c>
    </row>
    <row r="282" spans="1:7" ht="12.5">
      <c r="A282" s="6" t="s">
        <v>59</v>
      </c>
      <c r="B282" s="6" t="s">
        <v>37</v>
      </c>
      <c r="C282" s="6">
        <v>28.56</v>
      </c>
      <c r="D282" s="6">
        <v>17.510000000000002</v>
      </c>
      <c r="E282" s="17">
        <v>499</v>
      </c>
      <c r="F282" s="22">
        <v>44760</v>
      </c>
      <c r="G282" s="17">
        <v>-499</v>
      </c>
    </row>
    <row r="283" spans="1:7" ht="12.5">
      <c r="A283" s="6" t="s">
        <v>59</v>
      </c>
      <c r="B283" s="6" t="s">
        <v>37</v>
      </c>
      <c r="C283" s="6">
        <v>43.65</v>
      </c>
      <c r="D283" s="6">
        <v>17.02</v>
      </c>
      <c r="E283" s="17">
        <v>742</v>
      </c>
      <c r="F283" s="22">
        <v>44741</v>
      </c>
      <c r="G283" s="17">
        <v>-742</v>
      </c>
    </row>
    <row r="284" spans="1:7" ht="12.5">
      <c r="A284" s="6" t="s">
        <v>59</v>
      </c>
      <c r="B284" s="6" t="s">
        <v>37</v>
      </c>
      <c r="C284" s="6">
        <v>29.64</v>
      </c>
      <c r="D284" s="6">
        <v>16.87</v>
      </c>
      <c r="E284" s="17">
        <v>499</v>
      </c>
      <c r="F284" s="22">
        <v>44727</v>
      </c>
      <c r="G284" s="17">
        <v>-499</v>
      </c>
    </row>
    <row r="285" spans="1:7" ht="12.5">
      <c r="A285" s="6" t="s">
        <v>59</v>
      </c>
      <c r="B285" s="6" t="s">
        <v>37</v>
      </c>
      <c r="C285" s="6">
        <v>29.53</v>
      </c>
      <c r="D285" s="6">
        <v>16.93</v>
      </c>
      <c r="E285" s="17">
        <v>499</v>
      </c>
      <c r="F285" s="22">
        <v>44697</v>
      </c>
      <c r="G285" s="17">
        <v>-499</v>
      </c>
    </row>
    <row r="286" spans="1:7" ht="12.5">
      <c r="A286" s="6" t="s">
        <v>59</v>
      </c>
      <c r="B286" s="6" t="s">
        <v>37</v>
      </c>
      <c r="C286" s="6">
        <v>27.41</v>
      </c>
      <c r="D286" s="6">
        <v>18.239999999999998</v>
      </c>
      <c r="E286" s="17">
        <v>499</v>
      </c>
      <c r="F286" s="22">
        <v>44669</v>
      </c>
      <c r="G286" s="17">
        <v>-499</v>
      </c>
    </row>
    <row r="287" spans="1:7" ht="12.5">
      <c r="A287" s="6" t="s">
        <v>59</v>
      </c>
      <c r="B287" s="6" t="s">
        <v>37</v>
      </c>
      <c r="C287" s="6">
        <v>28.09</v>
      </c>
      <c r="D287" s="6">
        <v>17.8</v>
      </c>
      <c r="E287" s="17">
        <v>499</v>
      </c>
      <c r="F287" s="22">
        <v>44635</v>
      </c>
      <c r="G287" s="17">
        <v>-499</v>
      </c>
    </row>
    <row r="288" spans="1:7" ht="12.5">
      <c r="A288" s="6" t="s">
        <v>59</v>
      </c>
      <c r="B288" s="6" t="s">
        <v>37</v>
      </c>
      <c r="C288" s="6">
        <v>26.94</v>
      </c>
      <c r="D288" s="6">
        <v>18.559999999999999</v>
      </c>
      <c r="E288" s="17">
        <v>499</v>
      </c>
      <c r="F288" s="22">
        <v>44607</v>
      </c>
      <c r="G288" s="17">
        <v>-499</v>
      </c>
    </row>
    <row r="289" spans="1:16" ht="12.5">
      <c r="A289" s="6" t="s">
        <v>59</v>
      </c>
      <c r="B289" s="6" t="s">
        <v>37</v>
      </c>
      <c r="C289" s="6">
        <v>25.58</v>
      </c>
      <c r="D289" s="6">
        <v>19.55</v>
      </c>
      <c r="E289" s="17">
        <v>499</v>
      </c>
      <c r="F289" s="22">
        <v>44578</v>
      </c>
      <c r="G289" s="17">
        <v>-499</v>
      </c>
    </row>
    <row r="290" spans="1:16" ht="12.5">
      <c r="A290" s="6" t="s">
        <v>59</v>
      </c>
      <c r="B290" s="6" t="s">
        <v>37</v>
      </c>
      <c r="C290" s="6">
        <v>27.13</v>
      </c>
      <c r="D290" s="6">
        <v>18.43</v>
      </c>
      <c r="E290" s="17">
        <v>499</v>
      </c>
      <c r="F290" s="22">
        <v>44545</v>
      </c>
      <c r="G290" s="17">
        <v>-499</v>
      </c>
    </row>
    <row r="291" spans="1:16" ht="12.5">
      <c r="A291" s="6" t="s">
        <v>59</v>
      </c>
      <c r="B291" s="6" t="s">
        <v>37</v>
      </c>
      <c r="C291" s="6">
        <v>25.81</v>
      </c>
      <c r="D291" s="6">
        <v>19.37</v>
      </c>
      <c r="E291" s="17">
        <v>499</v>
      </c>
      <c r="F291" s="22">
        <v>44515</v>
      </c>
      <c r="G291" s="17">
        <v>-499</v>
      </c>
    </row>
    <row r="292" spans="1:16" ht="12.5">
      <c r="A292" s="6" t="s">
        <v>59</v>
      </c>
      <c r="B292" s="6" t="s">
        <v>37</v>
      </c>
      <c r="C292" s="6">
        <v>25.4</v>
      </c>
      <c r="D292" s="6">
        <v>19.68</v>
      </c>
      <c r="E292" s="17">
        <v>499</v>
      </c>
      <c r="F292" s="22">
        <v>44487</v>
      </c>
      <c r="G292" s="17">
        <v>-499</v>
      </c>
    </row>
    <row r="293" spans="1:16" ht="12.5">
      <c r="A293" s="6" t="s">
        <v>59</v>
      </c>
      <c r="B293" s="6" t="s">
        <v>37</v>
      </c>
      <c r="C293" s="6">
        <v>26.71</v>
      </c>
      <c r="D293" s="6">
        <v>18.72</v>
      </c>
      <c r="E293" s="17">
        <v>499</v>
      </c>
      <c r="F293" s="22">
        <v>44454</v>
      </c>
      <c r="G293" s="17">
        <v>-499</v>
      </c>
    </row>
    <row r="294" spans="1:16" ht="12.5">
      <c r="A294" s="6" t="s">
        <v>59</v>
      </c>
      <c r="B294" s="6" t="s">
        <v>37</v>
      </c>
      <c r="C294" s="6">
        <v>28.23</v>
      </c>
      <c r="D294" s="6">
        <v>17.71</v>
      </c>
      <c r="E294" s="17">
        <v>499</v>
      </c>
      <c r="F294" s="22">
        <v>44424</v>
      </c>
      <c r="G294" s="17">
        <v>-499</v>
      </c>
    </row>
    <row r="295" spans="1:16" ht="12.5">
      <c r="A295" s="6" t="s">
        <v>59</v>
      </c>
      <c r="B295" s="6" t="s">
        <v>37</v>
      </c>
      <c r="C295" s="6">
        <v>29.55</v>
      </c>
      <c r="D295" s="6">
        <v>16.920000000000002</v>
      </c>
      <c r="E295" s="17">
        <v>499</v>
      </c>
      <c r="F295" s="22">
        <v>44393</v>
      </c>
      <c r="G295" s="17">
        <v>-499</v>
      </c>
    </row>
    <row r="296" spans="1:16" ht="12.5">
      <c r="A296" s="87" t="s">
        <v>11</v>
      </c>
      <c r="B296" s="87"/>
      <c r="C296" s="87">
        <v>0</v>
      </c>
      <c r="D296" s="87"/>
      <c r="E296" s="87"/>
      <c r="F296" s="88"/>
      <c r="G296" s="87"/>
    </row>
    <row r="297" spans="1:16" ht="14.5">
      <c r="F297" s="27" t="s">
        <v>21</v>
      </c>
      <c r="G297" s="28">
        <v>0.15787275705334733</v>
      </c>
    </row>
    <row r="298" spans="1:16" ht="14.5">
      <c r="A298" s="70" t="s">
        <v>47</v>
      </c>
    </row>
    <row r="300" spans="1:16" ht="14.5">
      <c r="A300" s="4" t="s">
        <v>29</v>
      </c>
      <c r="B300" s="40" t="s">
        <v>30</v>
      </c>
      <c r="C300" s="27" t="s">
        <v>31</v>
      </c>
      <c r="D300" s="27" t="s">
        <v>32</v>
      </c>
      <c r="E300" s="27" t="s">
        <v>33</v>
      </c>
      <c r="F300" s="27" t="s">
        <v>34</v>
      </c>
      <c r="G300" s="27" t="s">
        <v>35</v>
      </c>
      <c r="H300" s="6"/>
      <c r="I300" s="6"/>
      <c r="J300" s="6" t="s">
        <v>106</v>
      </c>
      <c r="K300" s="6" t="s">
        <v>106</v>
      </c>
    </row>
    <row r="301" spans="1:16" ht="14.5">
      <c r="A301" s="76" t="s">
        <v>47</v>
      </c>
      <c r="B301" s="76" t="s">
        <v>40</v>
      </c>
      <c r="C301" s="45">
        <v>1041.1500000000001</v>
      </c>
      <c r="D301" s="45">
        <v>30.9</v>
      </c>
      <c r="E301" s="46">
        <v>32168</v>
      </c>
      <c r="F301" s="47">
        <v>45488</v>
      </c>
      <c r="G301" s="46">
        <v>32168</v>
      </c>
    </row>
    <row r="302" spans="1:16" ht="12.5">
      <c r="A302" s="6" t="s">
        <v>47</v>
      </c>
      <c r="B302" s="6" t="s">
        <v>52</v>
      </c>
      <c r="C302" s="6">
        <v>1041.1500000000001</v>
      </c>
      <c r="D302" s="6">
        <v>30.11</v>
      </c>
      <c r="E302" s="17">
        <v>31349</v>
      </c>
      <c r="F302" s="22">
        <v>45363</v>
      </c>
      <c r="G302" s="17">
        <v>-31349</v>
      </c>
    </row>
    <row r="303" spans="1:16" ht="12.5">
      <c r="A303" s="87" t="s">
        <v>11</v>
      </c>
      <c r="B303" s="87"/>
      <c r="C303" s="87"/>
      <c r="D303" s="87"/>
      <c r="E303" s="87"/>
      <c r="F303" s="88"/>
      <c r="G303" s="87"/>
    </row>
    <row r="304" spans="1:16" ht="14.5">
      <c r="F304" s="27" t="s">
        <v>21</v>
      </c>
      <c r="G304" s="28" t="e">
        <f>XIRR(G301:G302,F301:F302)</f>
        <v>#NUM!</v>
      </c>
      <c r="J304" s="76"/>
      <c r="K304" s="76"/>
      <c r="L304" s="45"/>
      <c r="M304" s="45"/>
      <c r="N304" s="46"/>
      <c r="O304" s="85"/>
      <c r="P304" s="46"/>
    </row>
    <row r="305" spans="1:11" ht="14.5">
      <c r="A305" s="70" t="s">
        <v>51</v>
      </c>
    </row>
    <row r="307" spans="1:11" ht="14.5">
      <c r="A307" s="4" t="s">
        <v>29</v>
      </c>
      <c r="B307" s="40" t="s">
        <v>30</v>
      </c>
      <c r="C307" s="27" t="s">
        <v>31</v>
      </c>
      <c r="D307" s="27" t="s">
        <v>32</v>
      </c>
      <c r="E307" s="27" t="s">
        <v>33</v>
      </c>
      <c r="F307" s="27" t="s">
        <v>34</v>
      </c>
      <c r="G307" s="27" t="s">
        <v>35</v>
      </c>
      <c r="H307" s="6"/>
      <c r="I307" s="6"/>
      <c r="J307" s="6" t="s">
        <v>106</v>
      </c>
      <c r="K307" s="6" t="s">
        <v>106</v>
      </c>
    </row>
    <row r="308" spans="1:11" ht="14.5">
      <c r="A308" s="76" t="s">
        <v>51</v>
      </c>
      <c r="B308" s="76" t="s">
        <v>40</v>
      </c>
      <c r="C308" s="45">
        <v>1551.31</v>
      </c>
      <c r="D308" s="45">
        <v>13.06</v>
      </c>
      <c r="E308" s="46">
        <v>20261</v>
      </c>
      <c r="F308" s="85">
        <v>45477</v>
      </c>
      <c r="G308" s="46">
        <v>20261</v>
      </c>
    </row>
    <row r="309" spans="1:11" ht="12.5">
      <c r="A309" s="6" t="s">
        <v>51</v>
      </c>
      <c r="B309" s="6" t="s">
        <v>52</v>
      </c>
      <c r="C309" s="6">
        <v>1551.32</v>
      </c>
      <c r="D309" s="6">
        <v>12.79</v>
      </c>
      <c r="E309" s="17">
        <v>19834</v>
      </c>
      <c r="F309" s="22">
        <v>45358</v>
      </c>
      <c r="G309" s="17">
        <v>-19834</v>
      </c>
    </row>
    <row r="310" spans="1:11" ht="12.5">
      <c r="A310" s="87" t="s">
        <v>11</v>
      </c>
      <c r="B310" s="87"/>
      <c r="C310" s="87"/>
      <c r="D310" s="87"/>
      <c r="E310" s="87"/>
      <c r="F310" s="88"/>
      <c r="G310" s="87"/>
    </row>
    <row r="311" spans="1:11" ht="14.5">
      <c r="F311" s="27" t="s">
        <v>21</v>
      </c>
      <c r="G311" s="28" t="e">
        <f>XIRR(G308:G309,F308:F309)</f>
        <v>#NUM!</v>
      </c>
    </row>
    <row r="312" spans="1:11" ht="14.5">
      <c r="A312" s="70" t="s">
        <v>46</v>
      </c>
    </row>
    <row r="314" spans="1:11" ht="14.5">
      <c r="A314" s="4" t="s">
        <v>29</v>
      </c>
      <c r="B314" s="40" t="s">
        <v>30</v>
      </c>
      <c r="C314" s="27" t="s">
        <v>31</v>
      </c>
      <c r="D314" s="27" t="s">
        <v>32</v>
      </c>
      <c r="E314" s="27" t="s">
        <v>33</v>
      </c>
      <c r="F314" s="27" t="s">
        <v>34</v>
      </c>
      <c r="G314" s="27" t="s">
        <v>35</v>
      </c>
    </row>
    <row r="315" spans="1:11" ht="14.5">
      <c r="A315" s="76" t="s">
        <v>46</v>
      </c>
      <c r="B315" s="76" t="s">
        <v>40</v>
      </c>
      <c r="C315" s="45">
        <v>2.5099999999999998</v>
      </c>
      <c r="D315" s="45">
        <v>39.200000000000003</v>
      </c>
      <c r="E315" s="45">
        <v>98</v>
      </c>
      <c r="F315" s="47">
        <v>45491</v>
      </c>
      <c r="G315" s="45">
        <v>98</v>
      </c>
    </row>
    <row r="316" spans="1:11" ht="14.5">
      <c r="A316" s="76" t="s">
        <v>46</v>
      </c>
      <c r="B316" s="76" t="s">
        <v>37</v>
      </c>
      <c r="C316" s="45">
        <v>2.5099999999999998</v>
      </c>
      <c r="D316" s="45">
        <v>39.909999999999997</v>
      </c>
      <c r="E316" s="45">
        <v>100</v>
      </c>
      <c r="F316" s="47">
        <v>45489</v>
      </c>
      <c r="G316" s="45">
        <v>-100</v>
      </c>
    </row>
    <row r="317" spans="1:11" ht="12.5">
      <c r="A317" s="87" t="s">
        <v>11</v>
      </c>
      <c r="B317" s="87"/>
      <c r="C317" s="87"/>
      <c r="D317" s="87"/>
      <c r="E317" s="87"/>
      <c r="F317" s="88"/>
      <c r="G317" s="87"/>
    </row>
    <row r="318" spans="1:11" ht="14.5">
      <c r="F318" s="27" t="s">
        <v>21</v>
      </c>
      <c r="G318" s="28" t="e">
        <f>XIRR(G315:G316,F315:F316)</f>
        <v>#NUM!</v>
      </c>
    </row>
    <row r="319" spans="1:11" ht="14.5">
      <c r="A319" s="70" t="s">
        <v>38</v>
      </c>
    </row>
    <row r="321" spans="1:7" ht="14.5">
      <c r="A321" s="4" t="s">
        <v>29</v>
      </c>
      <c r="B321" s="40" t="s">
        <v>30</v>
      </c>
      <c r="C321" s="27" t="s">
        <v>31</v>
      </c>
      <c r="D321" s="27" t="s">
        <v>32</v>
      </c>
      <c r="E321" s="27" t="s">
        <v>33</v>
      </c>
      <c r="F321" s="27" t="s">
        <v>34</v>
      </c>
      <c r="G321" s="27" t="s">
        <v>35</v>
      </c>
    </row>
    <row r="322" spans="1:7" ht="14.5">
      <c r="A322" s="76" t="s">
        <v>38</v>
      </c>
      <c r="B322" s="76" t="s">
        <v>37</v>
      </c>
      <c r="C322" s="45">
        <v>411.33</v>
      </c>
      <c r="D322" s="45">
        <v>24.31</v>
      </c>
      <c r="E322" s="46">
        <v>9999</v>
      </c>
      <c r="F322" s="47">
        <v>45498</v>
      </c>
      <c r="G322" s="46">
        <v>-9999</v>
      </c>
    </row>
    <row r="323" spans="1:7" ht="14.5">
      <c r="A323" s="76" t="s">
        <v>38</v>
      </c>
      <c r="B323" s="76" t="s">
        <v>37</v>
      </c>
      <c r="C323" s="45">
        <v>20.21</v>
      </c>
      <c r="D323" s="45">
        <v>24.74</v>
      </c>
      <c r="E323" s="45">
        <v>499</v>
      </c>
      <c r="F323" s="47">
        <v>45489</v>
      </c>
      <c r="G323" s="45">
        <v>-499</v>
      </c>
    </row>
    <row r="324" spans="1:7" ht="14.5">
      <c r="A324" s="76" t="s">
        <v>38</v>
      </c>
      <c r="B324" s="76" t="s">
        <v>37</v>
      </c>
      <c r="C324" s="48">
        <v>20.350000000000001</v>
      </c>
      <c r="D324" s="45">
        <v>24.57</v>
      </c>
      <c r="E324" s="45">
        <v>499</v>
      </c>
      <c r="F324" s="47">
        <v>45520</v>
      </c>
      <c r="G324" s="45">
        <v>-499</v>
      </c>
    </row>
    <row r="325" spans="1:7" ht="14.5">
      <c r="A325" s="76" t="s">
        <v>38</v>
      </c>
      <c r="B325" s="76" t="s">
        <v>37</v>
      </c>
      <c r="C325" s="45">
        <v>292.23</v>
      </c>
      <c r="D325" s="45">
        <v>24.98</v>
      </c>
      <c r="E325" s="46">
        <v>7299</v>
      </c>
      <c r="F325" s="47">
        <v>45527</v>
      </c>
      <c r="G325" s="45">
        <v>-7299</v>
      </c>
    </row>
    <row r="326" spans="1:7" ht="14.5">
      <c r="A326" s="43" t="s">
        <v>38</v>
      </c>
      <c r="B326" s="76" t="s">
        <v>37</v>
      </c>
      <c r="C326" s="20">
        <v>19.46</v>
      </c>
      <c r="D326" s="20">
        <v>25.69</v>
      </c>
      <c r="E326" s="41">
        <v>499</v>
      </c>
      <c r="F326" s="42">
        <v>45551</v>
      </c>
      <c r="G326" s="6">
        <f ca="1">IFERROR(__xludf.DUMMYFUNCTION("IF(E326="""", """", IF(OR(B326=""PURCHASE"", B326=""SWITCH PURCHASE""), E326*-1, E326))
"),-499)</f>
        <v>-499</v>
      </c>
    </row>
    <row r="327" spans="1:7" ht="14.5">
      <c r="A327" s="43" t="s">
        <v>38</v>
      </c>
      <c r="B327" s="6" t="s">
        <v>37</v>
      </c>
      <c r="C327" s="20">
        <v>19.64</v>
      </c>
      <c r="D327" s="20">
        <v>25.46</v>
      </c>
      <c r="E327" s="41">
        <v>499</v>
      </c>
      <c r="F327" s="42">
        <v>45581</v>
      </c>
      <c r="G327" s="6">
        <v>-499</v>
      </c>
    </row>
    <row r="328" spans="1:7" ht="14.5">
      <c r="A328" s="43" t="s">
        <v>38</v>
      </c>
      <c r="B328" s="6" t="s">
        <v>37</v>
      </c>
      <c r="C328" s="20">
        <v>83.11</v>
      </c>
      <c r="D328" s="20">
        <v>24.06</v>
      </c>
      <c r="E328" s="41">
        <v>1999</v>
      </c>
      <c r="F328" s="42">
        <v>45596</v>
      </c>
      <c r="G328" s="6">
        <v>-1999</v>
      </c>
    </row>
    <row r="329" spans="1:7" ht="14.5">
      <c r="A329" s="43" t="s">
        <v>38</v>
      </c>
      <c r="B329" s="6" t="s">
        <v>37</v>
      </c>
      <c r="C329" s="20">
        <v>21.61</v>
      </c>
      <c r="D329" s="20">
        <v>23.14</v>
      </c>
      <c r="E329" s="41">
        <v>499</v>
      </c>
      <c r="F329" s="42">
        <v>45614</v>
      </c>
      <c r="G329" s="6">
        <v>-499</v>
      </c>
    </row>
    <row r="330" spans="1:7" ht="14.5">
      <c r="A330" s="43" t="s">
        <v>38</v>
      </c>
      <c r="B330" s="6" t="s">
        <v>37</v>
      </c>
      <c r="C330" s="20">
        <v>19.809999999999999</v>
      </c>
      <c r="D330" s="20">
        <v>25.24</v>
      </c>
      <c r="E330" s="41">
        <v>499</v>
      </c>
      <c r="F330" s="42">
        <v>45642</v>
      </c>
      <c r="G330" s="6">
        <v>-499</v>
      </c>
    </row>
    <row r="331" spans="1:7" ht="14.5">
      <c r="A331" s="89" t="s">
        <v>38</v>
      </c>
      <c r="B331" s="6" t="s">
        <v>37</v>
      </c>
      <c r="C331" s="19">
        <v>24.02</v>
      </c>
      <c r="D331" s="19">
        <v>20.81</v>
      </c>
      <c r="E331" s="44">
        <v>499</v>
      </c>
      <c r="F331" s="90">
        <v>45733</v>
      </c>
      <c r="G331" s="91">
        <v>-499</v>
      </c>
    </row>
    <row r="332" spans="1:7" ht="14.5">
      <c r="A332" s="89" t="s">
        <v>38</v>
      </c>
      <c r="B332" s="6" t="s">
        <v>37</v>
      </c>
      <c r="C332" s="19">
        <v>24.02</v>
      </c>
      <c r="D332" s="19">
        <v>20.81</v>
      </c>
      <c r="E332" s="44">
        <v>499</v>
      </c>
      <c r="F332" s="90">
        <v>45733</v>
      </c>
      <c r="G332" s="91">
        <v>-499</v>
      </c>
    </row>
    <row r="333" spans="1:7" ht="14.5">
      <c r="A333" s="89" t="s">
        <v>38</v>
      </c>
      <c r="B333" s="6" t="s">
        <v>37</v>
      </c>
      <c r="C333" s="19">
        <v>23.53</v>
      </c>
      <c r="D333" s="19">
        <v>21.25</v>
      </c>
      <c r="E333" s="44">
        <v>499</v>
      </c>
      <c r="F333" s="90">
        <v>45705</v>
      </c>
      <c r="G333" s="91">
        <v>-499</v>
      </c>
    </row>
    <row r="334" spans="1:7" ht="14.5">
      <c r="A334" s="89" t="s">
        <v>38</v>
      </c>
      <c r="B334" s="6" t="s">
        <v>37</v>
      </c>
      <c r="C334" s="19">
        <v>23.53</v>
      </c>
      <c r="D334" s="19">
        <v>21.25</v>
      </c>
      <c r="E334" s="44">
        <v>499</v>
      </c>
      <c r="F334" s="90">
        <v>45705</v>
      </c>
      <c r="G334" s="91">
        <v>-499</v>
      </c>
    </row>
    <row r="335" spans="1:7" ht="14.5">
      <c r="A335" s="89" t="s">
        <v>38</v>
      </c>
      <c r="B335" s="6" t="s">
        <v>37</v>
      </c>
      <c r="C335" s="19">
        <v>21.48</v>
      </c>
      <c r="D335" s="19">
        <v>23.28</v>
      </c>
      <c r="E335" s="44">
        <v>499</v>
      </c>
      <c r="F335" s="90">
        <v>45674</v>
      </c>
      <c r="G335" s="91">
        <v>-499</v>
      </c>
    </row>
    <row r="336" spans="1:7" ht="14.5">
      <c r="A336" s="89" t="s">
        <v>38</v>
      </c>
      <c r="B336" s="6" t="s">
        <v>37</v>
      </c>
      <c r="C336" s="19">
        <v>21.73</v>
      </c>
      <c r="D336" s="19">
        <v>23</v>
      </c>
      <c r="E336" s="44">
        <v>499</v>
      </c>
      <c r="F336" s="90">
        <v>45672</v>
      </c>
      <c r="G336" s="91">
        <v>-499</v>
      </c>
    </row>
    <row r="337" spans="1:7" ht="14.5">
      <c r="A337" s="43" t="s">
        <v>38</v>
      </c>
      <c r="B337" s="6" t="s">
        <v>37</v>
      </c>
      <c r="C337" s="20">
        <v>22.61</v>
      </c>
      <c r="D337" s="20">
        <v>22.12</v>
      </c>
      <c r="E337" s="41">
        <v>499</v>
      </c>
      <c r="F337" s="42">
        <v>45762</v>
      </c>
      <c r="G337" s="6">
        <f ca="1">IFERROR(__xludf.DUMMYFUNCTION("IF(E337="""", """", IF(OR(B337=""PURCHASE"", B337=""SWITCH PURCHASE""), E337*-1, E337))
"),-499)</f>
        <v>-499</v>
      </c>
    </row>
    <row r="338" spans="1:7" ht="14.5">
      <c r="A338" s="43" t="s">
        <v>38</v>
      </c>
      <c r="B338" s="6" t="s">
        <v>37</v>
      </c>
      <c r="C338" s="20">
        <v>20.87</v>
      </c>
      <c r="D338" s="20">
        <v>23.96</v>
      </c>
      <c r="E338" s="41">
        <v>499</v>
      </c>
      <c r="F338" s="42">
        <v>45792</v>
      </c>
      <c r="G338" s="6">
        <f ca="1">IFERROR(__xludf.DUMMYFUNCTION("IF(E338="""", """", IF(OR(B338=""PURCHASE"", B338=""SWITCH PURCHASE""), E338*-1, E338))
"),-499)</f>
        <v>-499</v>
      </c>
    </row>
    <row r="339" spans="1:7" ht="14.5">
      <c r="A339" s="43" t="s">
        <v>38</v>
      </c>
      <c r="B339" s="6" t="s">
        <v>37</v>
      </c>
      <c r="C339" s="20">
        <v>20.079999999999998</v>
      </c>
      <c r="D339" s="20">
        <v>24.9</v>
      </c>
      <c r="E339" s="41">
        <v>499</v>
      </c>
      <c r="F339" s="42">
        <v>45824</v>
      </c>
      <c r="G339" s="6">
        <f ca="1">IFERROR(__xludf.DUMMYFUNCTION("IF(E339="""", """", IF(OR(B339=""PURCHASE"", B339=""SWITCH PURCHASE""), E339*-1, E339))
"),-499)</f>
        <v>-499</v>
      </c>
    </row>
    <row r="340" spans="1:7" ht="14.5">
      <c r="A340" s="43" t="s">
        <v>38</v>
      </c>
      <c r="B340" s="6" t="s">
        <v>37</v>
      </c>
      <c r="C340" s="20">
        <v>19.73</v>
      </c>
      <c r="D340" s="20">
        <v>25.35</v>
      </c>
      <c r="E340" s="41">
        <v>499</v>
      </c>
      <c r="F340" s="42">
        <v>45853</v>
      </c>
      <c r="G340" s="6">
        <f ca="1">IFERROR(__xludf.DUMMYFUNCTION("IF(E340="""", """", IF(OR(B340=""PURCHASE"", B340=""SWITCH PURCHASE""), E340*-1, E340))
"),-499)</f>
        <v>-499</v>
      </c>
    </row>
    <row r="341" spans="1:7" ht="12.5">
      <c r="A341" s="87" t="s">
        <v>11</v>
      </c>
      <c r="B341" s="87"/>
      <c r="C341" s="87">
        <f>'MF holdings and transactions'!I300</f>
        <v>1184.9469999999999</v>
      </c>
      <c r="D341" s="87">
        <f ca="1">'MF holdings and transactions'!G300</f>
        <v>25.25</v>
      </c>
      <c r="E341" s="87"/>
      <c r="F341" s="88">
        <f ca="1">TODAY()</f>
        <v>45862</v>
      </c>
      <c r="G341" s="92">
        <f ca="1">'MF holdings and transactions'!K300</f>
        <v>29919.911749999996</v>
      </c>
    </row>
    <row r="342" spans="1:7" ht="14.5">
      <c r="F342" s="27" t="s">
        <v>21</v>
      </c>
      <c r="G342" s="28">
        <f ca="1">XIRR(G322:G341,F322:F341)</f>
        <v>0.11985686421394348</v>
      </c>
    </row>
    <row r="343" spans="1:7" ht="14.5">
      <c r="A343" s="70" t="s">
        <v>36</v>
      </c>
    </row>
    <row r="345" spans="1:7" ht="14.5">
      <c r="A345" s="4" t="s">
        <v>29</v>
      </c>
      <c r="B345" s="40" t="s">
        <v>30</v>
      </c>
      <c r="C345" s="27" t="s">
        <v>31</v>
      </c>
      <c r="D345" s="27" t="s">
        <v>32</v>
      </c>
      <c r="E345" s="27" t="s">
        <v>33</v>
      </c>
      <c r="F345" s="27" t="s">
        <v>34</v>
      </c>
      <c r="G345" s="27" t="s">
        <v>35</v>
      </c>
    </row>
    <row r="346" spans="1:7" ht="14.5">
      <c r="A346" s="76" t="s">
        <v>36</v>
      </c>
      <c r="B346" s="76" t="s">
        <v>37</v>
      </c>
      <c r="C346" s="45">
        <v>412.32</v>
      </c>
      <c r="D346" s="45">
        <v>24.25</v>
      </c>
      <c r="E346" s="46">
        <v>9999</v>
      </c>
      <c r="F346" s="47">
        <v>45498</v>
      </c>
      <c r="G346" s="46">
        <v>-9999</v>
      </c>
    </row>
    <row r="347" spans="1:7" ht="14.5">
      <c r="A347" s="76" t="s">
        <v>36</v>
      </c>
      <c r="B347" s="76" t="s">
        <v>37</v>
      </c>
      <c r="C347" s="45">
        <v>19.96</v>
      </c>
      <c r="D347" s="45">
        <v>25.04</v>
      </c>
      <c r="E347" s="45">
        <v>499</v>
      </c>
      <c r="F347" s="47">
        <v>45489</v>
      </c>
      <c r="G347" s="45">
        <v>-499</v>
      </c>
    </row>
    <row r="348" spans="1:7" ht="14.5">
      <c r="A348" s="76" t="s">
        <v>36</v>
      </c>
      <c r="B348" s="76" t="s">
        <v>37</v>
      </c>
      <c r="C348" s="45">
        <v>20.21</v>
      </c>
      <c r="D348" s="45">
        <v>24.73</v>
      </c>
      <c r="E348" s="45">
        <v>499</v>
      </c>
      <c r="F348" s="47">
        <v>45520</v>
      </c>
      <c r="G348" s="45">
        <v>-499</v>
      </c>
    </row>
    <row r="349" spans="1:7" ht="14.5">
      <c r="A349" s="76" t="s">
        <v>36</v>
      </c>
      <c r="B349" s="76" t="s">
        <v>37</v>
      </c>
      <c r="C349" s="45">
        <v>289.67</v>
      </c>
      <c r="D349" s="45">
        <v>25.2</v>
      </c>
      <c r="E349" s="46">
        <v>7299</v>
      </c>
      <c r="F349" s="47">
        <v>45527</v>
      </c>
      <c r="G349" s="45">
        <v>-7299</v>
      </c>
    </row>
    <row r="350" spans="1:7" ht="14.5">
      <c r="A350" s="43" t="s">
        <v>36</v>
      </c>
      <c r="B350" s="76" t="s">
        <v>37</v>
      </c>
      <c r="C350" s="20">
        <v>19.84</v>
      </c>
      <c r="D350" s="20">
        <v>25.2</v>
      </c>
      <c r="E350" s="41">
        <v>499</v>
      </c>
      <c r="F350" s="42">
        <v>45551</v>
      </c>
      <c r="G350" s="6">
        <f ca="1">IFERROR(__xludf.DUMMYFUNCTION("IF(E350="""", """", IF(OR(B350=""PURCHASE"", B350=""SWITCH PURCHASE""), E350*-1, E350))
"),-499)</f>
        <v>-499</v>
      </c>
    </row>
    <row r="351" spans="1:7" ht="14.5">
      <c r="A351" s="43" t="s">
        <v>36</v>
      </c>
      <c r="B351" s="6" t="s">
        <v>37</v>
      </c>
      <c r="C351" s="20">
        <v>19.420000000000002</v>
      </c>
      <c r="D351" s="20">
        <v>25.74</v>
      </c>
      <c r="E351" s="41">
        <v>499</v>
      </c>
      <c r="F351" s="42">
        <v>45581</v>
      </c>
      <c r="G351" s="6">
        <v>-499</v>
      </c>
    </row>
    <row r="352" spans="1:7" ht="14.5">
      <c r="A352" s="43" t="s">
        <v>36</v>
      </c>
      <c r="B352" s="6" t="s">
        <v>37</v>
      </c>
      <c r="C352" s="20">
        <v>117.68</v>
      </c>
      <c r="D352" s="20">
        <v>23.79</v>
      </c>
      <c r="E352" s="41">
        <v>2799</v>
      </c>
      <c r="F352" s="42">
        <v>45596</v>
      </c>
      <c r="G352" s="6">
        <v>-2799</v>
      </c>
    </row>
    <row r="353" spans="1:7" ht="14.5">
      <c r="A353" s="43" t="s">
        <v>36</v>
      </c>
      <c r="B353" s="6" t="s">
        <v>37</v>
      </c>
      <c r="C353" s="20">
        <v>22.05</v>
      </c>
      <c r="D353" s="20">
        <v>22.67</v>
      </c>
      <c r="E353" s="41">
        <v>499</v>
      </c>
      <c r="F353" s="42">
        <v>45614</v>
      </c>
      <c r="G353" s="6">
        <v>-499</v>
      </c>
    </row>
    <row r="354" spans="1:7" ht="14.5">
      <c r="A354" s="43" t="s">
        <v>36</v>
      </c>
      <c r="B354" s="6" t="s">
        <v>37</v>
      </c>
      <c r="C354" s="20">
        <v>20.49</v>
      </c>
      <c r="D354" s="20">
        <v>24.4</v>
      </c>
      <c r="E354" s="41">
        <v>499</v>
      </c>
      <c r="F354" s="42">
        <v>45642</v>
      </c>
      <c r="G354" s="6">
        <v>-499</v>
      </c>
    </row>
    <row r="355" spans="1:7" ht="14.5">
      <c r="A355" s="89" t="s">
        <v>36</v>
      </c>
      <c r="B355" s="6" t="s">
        <v>37</v>
      </c>
      <c r="C355" s="19">
        <v>26.92</v>
      </c>
      <c r="D355" s="19">
        <v>18.57</v>
      </c>
      <c r="E355" s="44">
        <v>499</v>
      </c>
      <c r="F355" s="90">
        <v>45733</v>
      </c>
      <c r="G355" s="91">
        <v>-499</v>
      </c>
    </row>
    <row r="356" spans="1:7" ht="14.5">
      <c r="A356" s="89" t="s">
        <v>36</v>
      </c>
      <c r="B356" s="6" t="s">
        <v>37</v>
      </c>
      <c r="C356" s="19">
        <v>25.61</v>
      </c>
      <c r="D356" s="19">
        <v>19.52</v>
      </c>
      <c r="E356" s="44">
        <v>499</v>
      </c>
      <c r="F356" s="90">
        <v>45705</v>
      </c>
      <c r="G356" s="91">
        <v>-499</v>
      </c>
    </row>
    <row r="357" spans="1:7" ht="14.5">
      <c r="A357" s="89" t="s">
        <v>36</v>
      </c>
      <c r="B357" s="6" t="s">
        <v>37</v>
      </c>
      <c r="C357" s="19">
        <v>23.59</v>
      </c>
      <c r="D357" s="19">
        <v>21.19</v>
      </c>
      <c r="E357" s="44">
        <v>499</v>
      </c>
      <c r="F357" s="90">
        <v>45672</v>
      </c>
      <c r="G357" s="91">
        <v>-499</v>
      </c>
    </row>
    <row r="358" spans="1:7" ht="14.5">
      <c r="A358" s="43" t="s">
        <v>36</v>
      </c>
      <c r="B358" s="6" t="s">
        <v>37</v>
      </c>
      <c r="C358" s="20">
        <v>26.19</v>
      </c>
      <c r="D358" s="20">
        <v>19.09</v>
      </c>
      <c r="E358" s="41">
        <v>499</v>
      </c>
      <c r="F358" s="42">
        <v>45762</v>
      </c>
      <c r="G358" s="6">
        <f ca="1">IFERROR(__xludf.DUMMYFUNCTION("IF(E358="""", """", IF(OR(B358=""PURCHASE"", B358=""SWITCH PURCHASE""), E358*-1, E358))
"),-499)</f>
        <v>-499</v>
      </c>
    </row>
    <row r="359" spans="1:7" ht="14.5">
      <c r="A359" s="43" t="s">
        <v>36</v>
      </c>
      <c r="B359" s="6" t="s">
        <v>37</v>
      </c>
      <c r="C359" s="20">
        <v>23.59</v>
      </c>
      <c r="D359" s="20">
        <v>21.19</v>
      </c>
      <c r="E359" s="41">
        <v>499</v>
      </c>
      <c r="F359" s="42">
        <v>45792</v>
      </c>
      <c r="G359" s="6">
        <f ca="1">IFERROR(__xludf.DUMMYFUNCTION("IF(E359="""", """", IF(OR(B359=""PURCHASE"", B359=""SWITCH PURCHASE""), E359*-1, E359))
"),-499)</f>
        <v>-499</v>
      </c>
    </row>
    <row r="360" spans="1:7" ht="14.5">
      <c r="A360" s="43" t="s">
        <v>36</v>
      </c>
      <c r="B360" s="6" t="s">
        <v>37</v>
      </c>
      <c r="C360" s="20">
        <v>23</v>
      </c>
      <c r="D360" s="20">
        <v>21.74</v>
      </c>
      <c r="E360" s="41">
        <v>499</v>
      </c>
      <c r="F360" s="42">
        <v>45824</v>
      </c>
      <c r="G360" s="6">
        <f ca="1">IFERROR(__xludf.DUMMYFUNCTION("IF(E360="""", """", IF(OR(B360=""PURCHASE"", B360=""SWITCH PURCHASE""), E360*-1, E360))
"),-499)</f>
        <v>-499</v>
      </c>
    </row>
    <row r="361" spans="1:7" ht="14.5">
      <c r="A361" s="43" t="s">
        <v>36</v>
      </c>
      <c r="B361" s="6" t="s">
        <v>37</v>
      </c>
      <c r="C361" s="20">
        <v>23.18</v>
      </c>
      <c r="D361" s="20">
        <v>21.57</v>
      </c>
      <c r="E361" s="41">
        <v>499</v>
      </c>
      <c r="F361" s="42">
        <v>45853</v>
      </c>
      <c r="G361" s="6">
        <f ca="1">IFERROR(__xludf.DUMMYFUNCTION("IF(E361="""", """", IF(OR(B361=""PURCHASE"", B361=""SWITCH PURCHASE""), E361*-1, E361))
"),-499)</f>
        <v>-499</v>
      </c>
    </row>
    <row r="362" spans="1:7" ht="12.5">
      <c r="A362" s="87" t="s">
        <v>11</v>
      </c>
      <c r="B362" s="87"/>
      <c r="C362" s="87">
        <f>'MF holdings and transactions'!I301</f>
        <v>1113.749</v>
      </c>
      <c r="D362" s="87">
        <f ca="1">'MF holdings and transactions'!G301</f>
        <v>21.52</v>
      </c>
      <c r="E362" s="87"/>
      <c r="F362" s="88">
        <f ca="1">TODAY()</f>
        <v>45862</v>
      </c>
      <c r="G362" s="92">
        <f ca="1">'MF holdings and transactions'!K301</f>
        <v>23967.878479999999</v>
      </c>
    </row>
    <row r="363" spans="1:7" ht="14.5">
      <c r="F363" s="27" t="s">
        <v>21</v>
      </c>
      <c r="G363" s="28">
        <f ca="1">XIRR(G346:G362,F346:F362)</f>
        <v>-0.11775469817221165</v>
      </c>
    </row>
    <row r="365" spans="1:7" ht="14.5">
      <c r="A365" s="43"/>
      <c r="B365" s="29"/>
      <c r="C365" s="20"/>
      <c r="D365" s="20"/>
      <c r="E365" s="41"/>
      <c r="F365" s="42"/>
    </row>
    <row r="366" spans="1:7" ht="14.5">
      <c r="A366" s="43"/>
      <c r="B366" s="29"/>
      <c r="C366" s="20"/>
      <c r="D366" s="20"/>
      <c r="E366" s="41"/>
      <c r="F366" s="42"/>
    </row>
    <row r="367" spans="1:7" ht="14.5">
      <c r="A367" s="43"/>
      <c r="B367" s="29"/>
      <c r="C367" s="20"/>
      <c r="D367" s="20"/>
      <c r="E367" s="41"/>
      <c r="F367" s="42"/>
    </row>
    <row r="368" spans="1:7" ht="14.5">
      <c r="A368" s="43"/>
      <c r="B368" s="29"/>
      <c r="C368" s="20"/>
      <c r="D368" s="20"/>
      <c r="E368" s="41"/>
      <c r="F368" s="42"/>
    </row>
  </sheetData>
  <conditionalFormatting sqref="B3 B10 B17 B24 B31 B40 B47 B54 B93 B130 B169 B182 B223 B263 B300 B307 B314 B321 B345 B365:B368">
    <cfRule type="cellIs" dxfId="5" priority="1" operator="equal">
      <formula>"REDEEM"</formula>
    </cfRule>
    <cfRule type="cellIs" dxfId="4" priority="2" operator="equal">
      <formula>"PURCHASE"</formula>
    </cfRule>
    <cfRule type="containsText" dxfId="3" priority="3" operator="containsText" text="SWITCH">
      <formula>NOT(ISERROR(SEARCH(("SWITCH"),(B3))))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02"/>
  <sheetViews>
    <sheetView workbookViewId="0">
      <selection activeCell="E132" sqref="E132"/>
    </sheetView>
  </sheetViews>
  <sheetFormatPr defaultColWidth="12.6328125" defaultRowHeight="15.75" customHeight="1"/>
  <cols>
    <col min="1" max="1" width="19" customWidth="1"/>
  </cols>
  <sheetData>
    <row r="1" spans="1:11" ht="15.75" customHeight="1">
      <c r="A1" s="31" t="s">
        <v>22</v>
      </c>
      <c r="B1" s="94"/>
      <c r="C1" s="20"/>
      <c r="D1" s="20"/>
      <c r="E1" s="20"/>
      <c r="F1" s="20"/>
      <c r="G1" s="20"/>
      <c r="H1" s="20"/>
      <c r="I1" s="20"/>
      <c r="J1" s="20"/>
      <c r="K1" s="20"/>
    </row>
    <row r="2" spans="1:11" ht="15.75" customHeight="1">
      <c r="A2" s="70" t="s">
        <v>23</v>
      </c>
      <c r="B2" s="95"/>
      <c r="C2" s="20"/>
      <c r="D2" s="20"/>
      <c r="E2" s="20"/>
      <c r="F2" s="20"/>
      <c r="G2" s="20"/>
      <c r="H2" s="20"/>
      <c r="I2" s="20"/>
      <c r="J2" s="20"/>
      <c r="K2" s="20"/>
    </row>
    <row r="3" spans="1:11" ht="15.75" customHeight="1">
      <c r="A3" s="70" t="s">
        <v>107</v>
      </c>
      <c r="B3" s="95"/>
      <c r="C3" s="20"/>
      <c r="D3" s="20"/>
      <c r="E3" s="20"/>
      <c r="F3" s="20"/>
      <c r="G3" s="20"/>
      <c r="H3" s="20"/>
      <c r="I3" s="20"/>
      <c r="J3" s="20"/>
      <c r="K3" s="20"/>
    </row>
    <row r="4" spans="1:11" ht="15.75" customHeigh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</row>
    <row r="5" spans="1:11" ht="15.75" customHeight="1">
      <c r="A5" s="70" t="str">
        <f ca="1">CONCATENATE("P&amp;L Statement for stocks from 11-06-2020 TO ", TEXT(TODAY(), "DD-MM-YYYY"))</f>
        <v>P&amp;L Statement for stocks from 11-06-2020 TO 24-07-2025</v>
      </c>
      <c r="B5" s="70"/>
      <c r="C5" s="70"/>
      <c r="D5" s="20"/>
      <c r="E5" s="20"/>
      <c r="F5" s="20"/>
      <c r="G5" s="20"/>
      <c r="H5" s="20"/>
      <c r="I5" s="20"/>
      <c r="J5" s="20"/>
      <c r="K5" s="20"/>
    </row>
    <row r="6" spans="1:11" ht="15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1" ht="15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1" ht="15.75" customHeight="1">
      <c r="A8" s="31" t="s">
        <v>108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ht="15.7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15.75" customHeight="1">
      <c r="A10" s="70" t="s">
        <v>109</v>
      </c>
      <c r="B10" s="70" t="s">
        <v>110</v>
      </c>
      <c r="C10" s="70" t="s">
        <v>111</v>
      </c>
      <c r="D10" s="70" t="s">
        <v>112</v>
      </c>
      <c r="E10" s="70" t="s">
        <v>113</v>
      </c>
      <c r="F10" s="70" t="s">
        <v>114</v>
      </c>
      <c r="G10" s="70" t="s">
        <v>115</v>
      </c>
      <c r="H10" s="70" t="s">
        <v>116</v>
      </c>
      <c r="I10" s="70" t="s">
        <v>117</v>
      </c>
      <c r="J10" s="70" t="s">
        <v>118</v>
      </c>
    </row>
    <row r="11" spans="1:11" ht="15.75" customHeight="1">
      <c r="A11" s="20" t="s">
        <v>119</v>
      </c>
      <c r="B11" s="20" t="s">
        <v>120</v>
      </c>
      <c r="C11" s="19">
        <v>2</v>
      </c>
      <c r="D11" s="96">
        <v>44130</v>
      </c>
      <c r="E11" s="19">
        <v>56.3</v>
      </c>
      <c r="F11" s="19">
        <v>112.6</v>
      </c>
      <c r="G11" s="96">
        <v>44186</v>
      </c>
      <c r="H11" s="19">
        <v>65.2</v>
      </c>
      <c r="I11" s="19">
        <v>130.4</v>
      </c>
      <c r="J11" s="19">
        <v>17.8</v>
      </c>
      <c r="K11" s="20"/>
    </row>
    <row r="12" spans="1:11" ht="15.75" customHeight="1">
      <c r="A12" s="20" t="s">
        <v>121</v>
      </c>
      <c r="B12" s="20" t="s">
        <v>122</v>
      </c>
      <c r="C12" s="19">
        <v>6</v>
      </c>
      <c r="D12" s="96">
        <v>44130</v>
      </c>
      <c r="E12" s="19">
        <v>9.0500000000000007</v>
      </c>
      <c r="F12" s="19">
        <v>54.3</v>
      </c>
      <c r="G12" s="96">
        <v>44186</v>
      </c>
      <c r="H12" s="19">
        <v>9.9</v>
      </c>
      <c r="I12" s="19">
        <v>59.4</v>
      </c>
      <c r="J12" s="19">
        <v>5.0999999999999996</v>
      </c>
      <c r="K12" s="20"/>
    </row>
    <row r="13" spans="1:11" ht="15.75" customHeight="1">
      <c r="A13" s="20" t="s">
        <v>123</v>
      </c>
      <c r="B13" s="20" t="s">
        <v>124</v>
      </c>
      <c r="C13" s="19">
        <v>2</v>
      </c>
      <c r="D13" s="96">
        <v>44130</v>
      </c>
      <c r="E13" s="19">
        <v>171.5</v>
      </c>
      <c r="F13" s="19">
        <v>343</v>
      </c>
      <c r="G13" s="96">
        <v>44186</v>
      </c>
      <c r="H13" s="19">
        <v>212.6</v>
      </c>
      <c r="I13" s="19">
        <v>425.2</v>
      </c>
      <c r="J13" s="19">
        <v>82.2</v>
      </c>
      <c r="K13" s="20"/>
    </row>
    <row r="14" spans="1:11" ht="15.75" customHeight="1">
      <c r="A14" s="20" t="s">
        <v>125</v>
      </c>
      <c r="B14" s="20" t="s">
        <v>126</v>
      </c>
      <c r="C14" s="19">
        <v>1</v>
      </c>
      <c r="D14" s="96">
        <v>44130</v>
      </c>
      <c r="E14" s="19">
        <v>138.4</v>
      </c>
      <c r="F14" s="19">
        <v>138.4</v>
      </c>
      <c r="G14" s="96">
        <v>44186</v>
      </c>
      <c r="H14" s="19">
        <v>176.75</v>
      </c>
      <c r="I14" s="19">
        <v>176.75</v>
      </c>
      <c r="J14" s="19">
        <v>38.35</v>
      </c>
      <c r="K14" s="20"/>
    </row>
    <row r="15" spans="1:11" ht="15.75" customHeight="1">
      <c r="A15" s="20" t="s">
        <v>127</v>
      </c>
      <c r="B15" s="20" t="s">
        <v>128</v>
      </c>
      <c r="C15" s="19">
        <v>2</v>
      </c>
      <c r="D15" s="96">
        <v>44130</v>
      </c>
      <c r="E15" s="19">
        <v>52.65</v>
      </c>
      <c r="F15" s="19">
        <v>105.3</v>
      </c>
      <c r="G15" s="96">
        <v>44186</v>
      </c>
      <c r="H15" s="19">
        <v>97.05</v>
      </c>
      <c r="I15" s="19">
        <v>194.1</v>
      </c>
      <c r="J15" s="19">
        <v>88.8</v>
      </c>
      <c r="K15" s="20"/>
    </row>
    <row r="16" spans="1:11" ht="15.75" customHeight="1">
      <c r="A16" s="20" t="s">
        <v>129</v>
      </c>
      <c r="B16" s="20" t="s">
        <v>130</v>
      </c>
      <c r="C16" s="19">
        <v>6</v>
      </c>
      <c r="D16" s="96">
        <v>44130</v>
      </c>
      <c r="E16" s="19">
        <v>13.95</v>
      </c>
      <c r="F16" s="19">
        <v>83.7</v>
      </c>
      <c r="G16" s="96">
        <v>44186</v>
      </c>
      <c r="H16" s="19">
        <v>18.7</v>
      </c>
      <c r="I16" s="19">
        <v>112.2</v>
      </c>
      <c r="J16" s="19">
        <v>28.5</v>
      </c>
      <c r="K16" s="20"/>
    </row>
    <row r="17" spans="1:11" ht="15.75" customHeight="1">
      <c r="A17" s="20" t="s">
        <v>131</v>
      </c>
      <c r="B17" s="20" t="s">
        <v>132</v>
      </c>
      <c r="C17" s="19">
        <v>1</v>
      </c>
      <c r="D17" s="96">
        <v>44132</v>
      </c>
      <c r="E17" s="19">
        <v>6.15</v>
      </c>
      <c r="F17" s="19">
        <v>6.15</v>
      </c>
      <c r="G17" s="96">
        <v>44147</v>
      </c>
      <c r="H17" s="19">
        <v>5.5</v>
      </c>
      <c r="I17" s="19">
        <v>5.5</v>
      </c>
      <c r="J17" s="19">
        <v>-0.65</v>
      </c>
      <c r="K17" s="20"/>
    </row>
    <row r="18" spans="1:11" ht="15.75" customHeight="1">
      <c r="A18" s="20" t="s">
        <v>133</v>
      </c>
      <c r="B18" s="20" t="s">
        <v>134</v>
      </c>
      <c r="C18" s="19">
        <v>1</v>
      </c>
      <c r="D18" s="96">
        <v>44134</v>
      </c>
      <c r="E18" s="19">
        <v>0.65</v>
      </c>
      <c r="F18" s="19">
        <v>0.65</v>
      </c>
      <c r="G18" s="96">
        <v>44147</v>
      </c>
      <c r="H18" s="19">
        <v>0.6</v>
      </c>
      <c r="I18" s="19">
        <v>0.6</v>
      </c>
      <c r="J18" s="19">
        <v>-0.05</v>
      </c>
      <c r="K18" s="20"/>
    </row>
    <row r="19" spans="1:11" ht="15.75" customHeight="1">
      <c r="A19" s="20" t="s">
        <v>135</v>
      </c>
      <c r="B19" s="20" t="s">
        <v>136</v>
      </c>
      <c r="C19" s="19">
        <v>1</v>
      </c>
      <c r="D19" s="18">
        <v>44140</v>
      </c>
      <c r="E19" s="19">
        <v>0.25</v>
      </c>
      <c r="F19" s="19">
        <v>0.25</v>
      </c>
      <c r="G19" s="96">
        <v>44149</v>
      </c>
      <c r="H19" s="19">
        <v>0.2</v>
      </c>
      <c r="I19" s="19">
        <v>0.2</v>
      </c>
      <c r="J19" s="19">
        <v>-0.05</v>
      </c>
      <c r="K19" s="20"/>
    </row>
    <row r="20" spans="1:11" ht="15.75" customHeight="1">
      <c r="A20" s="20" t="s">
        <v>137</v>
      </c>
      <c r="B20" s="20" t="s">
        <v>138</v>
      </c>
      <c r="C20" s="19">
        <v>3</v>
      </c>
      <c r="D20" s="18">
        <v>44037</v>
      </c>
      <c r="E20" s="19">
        <v>141.12</v>
      </c>
      <c r="F20" s="19">
        <v>423.36</v>
      </c>
      <c r="G20" s="96">
        <v>45593</v>
      </c>
      <c r="H20" s="19">
        <v>119.7</v>
      </c>
      <c r="I20" s="19">
        <v>359.1</v>
      </c>
      <c r="J20" s="19">
        <v>-64.260000000000005</v>
      </c>
      <c r="K20" s="20"/>
    </row>
    <row r="21" spans="1:11" ht="15.75" customHeight="1">
      <c r="A21" s="20" t="s">
        <v>137</v>
      </c>
      <c r="B21" s="6" t="s">
        <v>138</v>
      </c>
      <c r="C21" s="6">
        <v>1</v>
      </c>
      <c r="D21" s="15">
        <v>45523</v>
      </c>
      <c r="E21" s="6">
        <v>135.4</v>
      </c>
      <c r="F21" s="6">
        <v>135.4</v>
      </c>
      <c r="G21" s="96">
        <v>45593</v>
      </c>
      <c r="H21" s="19">
        <v>119.7</v>
      </c>
      <c r="I21" s="19">
        <v>119.7</v>
      </c>
      <c r="J21" s="19">
        <v>-15.7</v>
      </c>
      <c r="K21" s="20"/>
    </row>
    <row r="22" spans="1:11" ht="14.5">
      <c r="A22" s="97" t="s">
        <v>11</v>
      </c>
      <c r="B22" s="98"/>
      <c r="C22" s="98"/>
      <c r="D22" s="99"/>
      <c r="E22" s="98"/>
      <c r="F22" s="100">
        <f>SUM(F11:F21)</f>
        <v>1403.1100000000001</v>
      </c>
      <c r="G22" s="101"/>
      <c r="H22" s="98"/>
      <c r="I22" s="100">
        <f t="shared" ref="I22:J22" si="0">SUM(I11:I21)</f>
        <v>1583.1499999999999</v>
      </c>
      <c r="J22" s="100">
        <f t="shared" si="0"/>
        <v>180.04000000000002</v>
      </c>
      <c r="K22" s="20"/>
    </row>
    <row r="23" spans="1:11" ht="14.5">
      <c r="A23" s="67"/>
      <c r="B23" s="67"/>
      <c r="C23" s="67"/>
      <c r="D23" s="102"/>
      <c r="E23" s="67"/>
      <c r="F23" s="67"/>
      <c r="G23" s="103"/>
      <c r="H23" s="67"/>
      <c r="I23" s="104" t="s">
        <v>139</v>
      </c>
      <c r="J23" s="105">
        <f>J22/F22</f>
        <v>0.12831495748729607</v>
      </c>
      <c r="K23" s="20"/>
    </row>
    <row r="24" spans="1:11" ht="14.5">
      <c r="A24" s="106"/>
      <c r="B24" s="67"/>
      <c r="C24" s="67"/>
      <c r="D24" s="102"/>
      <c r="E24" s="67"/>
      <c r="F24" s="67"/>
      <c r="G24" s="103"/>
      <c r="H24" s="67"/>
      <c r="K24" s="20"/>
    </row>
    <row r="25" spans="1:11" ht="18.5">
      <c r="A25" s="31" t="s">
        <v>9</v>
      </c>
      <c r="B25" s="67"/>
      <c r="C25" s="67"/>
      <c r="D25" s="102"/>
      <c r="E25" s="67"/>
      <c r="F25" s="67"/>
      <c r="G25" s="103"/>
      <c r="H25" s="67"/>
      <c r="K25" s="20"/>
    </row>
    <row r="26" spans="1:11" ht="14.5">
      <c r="A26" s="20"/>
      <c r="B26" s="20"/>
      <c r="C26" s="19"/>
      <c r="D26" s="18"/>
      <c r="E26" s="19"/>
      <c r="F26" s="19"/>
      <c r="G26" s="96"/>
      <c r="H26" s="19"/>
      <c r="I26" s="19"/>
      <c r="J26" s="19"/>
      <c r="K26" s="20"/>
    </row>
    <row r="27" spans="1:11" ht="14.5">
      <c r="A27" s="70" t="s">
        <v>109</v>
      </c>
      <c r="B27" s="70" t="s">
        <v>110</v>
      </c>
      <c r="C27" s="70" t="s">
        <v>111</v>
      </c>
      <c r="D27" s="70" t="s">
        <v>112</v>
      </c>
      <c r="E27" s="70" t="s">
        <v>113</v>
      </c>
      <c r="F27" s="70" t="s">
        <v>114</v>
      </c>
      <c r="G27" s="70" t="s">
        <v>115</v>
      </c>
      <c r="H27" s="70" t="s">
        <v>116</v>
      </c>
      <c r="I27" s="70" t="s">
        <v>117</v>
      </c>
      <c r="J27" s="70" t="s">
        <v>118</v>
      </c>
      <c r="K27" s="20"/>
    </row>
    <row r="28" spans="1:11" ht="14.5">
      <c r="A28" s="20" t="s">
        <v>140</v>
      </c>
      <c r="B28" s="20" t="s">
        <v>141</v>
      </c>
      <c r="C28" s="19">
        <v>8</v>
      </c>
      <c r="D28" s="5">
        <v>44741</v>
      </c>
      <c r="E28" s="19">
        <v>90.2</v>
      </c>
      <c r="F28" s="19">
        <v>721.6</v>
      </c>
      <c r="G28" s="18">
        <v>45357</v>
      </c>
      <c r="H28" s="19">
        <v>145.25</v>
      </c>
      <c r="I28" s="19">
        <v>1162</v>
      </c>
      <c r="J28" s="19">
        <v>440.4</v>
      </c>
      <c r="K28" s="20"/>
    </row>
    <row r="29" spans="1:11" ht="14.5">
      <c r="A29" s="20" t="s">
        <v>140</v>
      </c>
      <c r="B29" s="20" t="s">
        <v>141</v>
      </c>
      <c r="C29" s="19">
        <v>5</v>
      </c>
      <c r="D29" s="5">
        <v>44750</v>
      </c>
      <c r="E29" s="19">
        <v>93.98</v>
      </c>
      <c r="F29" s="19">
        <v>469.9</v>
      </c>
      <c r="G29" s="18">
        <v>45357</v>
      </c>
      <c r="H29" s="19">
        <v>145.25</v>
      </c>
      <c r="I29" s="19">
        <v>726.25</v>
      </c>
      <c r="J29" s="19">
        <v>256.35000000000002</v>
      </c>
      <c r="K29" s="20"/>
    </row>
    <row r="30" spans="1:11" ht="14.5">
      <c r="A30" s="20" t="s">
        <v>140</v>
      </c>
      <c r="B30" s="20" t="s">
        <v>141</v>
      </c>
      <c r="C30" s="19">
        <v>6</v>
      </c>
      <c r="D30" s="5">
        <v>44760</v>
      </c>
      <c r="E30" s="19">
        <v>94.38</v>
      </c>
      <c r="F30" s="19">
        <v>566.28</v>
      </c>
      <c r="G30" s="18">
        <v>45357</v>
      </c>
      <c r="H30" s="19">
        <v>145.25</v>
      </c>
      <c r="I30" s="19">
        <v>871.5</v>
      </c>
      <c r="J30" s="19">
        <v>305.22000000000003</v>
      </c>
      <c r="K30" s="20"/>
    </row>
    <row r="31" spans="1:11" ht="14.5">
      <c r="A31" s="20" t="s">
        <v>140</v>
      </c>
      <c r="B31" s="20" t="s">
        <v>141</v>
      </c>
      <c r="C31" s="19">
        <v>5</v>
      </c>
      <c r="D31" s="5">
        <v>44792</v>
      </c>
      <c r="E31" s="19">
        <v>104.62</v>
      </c>
      <c r="F31" s="19">
        <v>523.1</v>
      </c>
      <c r="G31" s="18">
        <v>45357</v>
      </c>
      <c r="H31" s="19">
        <v>145.25</v>
      </c>
      <c r="I31" s="19">
        <v>726.25</v>
      </c>
      <c r="J31" s="19">
        <v>203.15</v>
      </c>
      <c r="K31" s="20"/>
    </row>
    <row r="32" spans="1:11" ht="14.5">
      <c r="A32" s="20" t="s">
        <v>140</v>
      </c>
      <c r="B32" s="20" t="s">
        <v>141</v>
      </c>
      <c r="C32" s="19">
        <v>5</v>
      </c>
      <c r="D32" s="5">
        <v>44816</v>
      </c>
      <c r="E32" s="19">
        <v>98.33</v>
      </c>
      <c r="F32" s="19">
        <v>491.65</v>
      </c>
      <c r="G32" s="18">
        <v>45357</v>
      </c>
      <c r="H32" s="19">
        <v>145.25</v>
      </c>
      <c r="I32" s="19">
        <v>726.25</v>
      </c>
      <c r="J32" s="19">
        <v>234.6</v>
      </c>
      <c r="K32" s="20"/>
    </row>
    <row r="33" spans="1:21" ht="14.5">
      <c r="A33" s="20" t="s">
        <v>140</v>
      </c>
      <c r="B33" s="20" t="s">
        <v>141</v>
      </c>
      <c r="C33" s="19">
        <v>5</v>
      </c>
      <c r="D33" s="5">
        <v>44844</v>
      </c>
      <c r="E33" s="19">
        <v>91.47</v>
      </c>
      <c r="F33" s="19">
        <v>457.35</v>
      </c>
      <c r="G33" s="18">
        <v>45357</v>
      </c>
      <c r="H33" s="19">
        <v>145.25</v>
      </c>
      <c r="I33" s="19">
        <v>726.25</v>
      </c>
      <c r="J33" s="19">
        <v>268.89999999999998</v>
      </c>
      <c r="K33" s="20"/>
      <c r="U33" s="107"/>
    </row>
    <row r="34" spans="1:21" ht="14.5">
      <c r="A34" s="20" t="s">
        <v>140</v>
      </c>
      <c r="B34" s="20" t="s">
        <v>141</v>
      </c>
      <c r="C34" s="19">
        <v>5</v>
      </c>
      <c r="D34" s="5">
        <v>44882</v>
      </c>
      <c r="E34" s="19">
        <v>93.01</v>
      </c>
      <c r="F34" s="19">
        <v>465.05</v>
      </c>
      <c r="G34" s="18">
        <v>45357</v>
      </c>
      <c r="H34" s="19">
        <v>145.25</v>
      </c>
      <c r="I34" s="19">
        <v>726.25</v>
      </c>
      <c r="J34" s="19">
        <v>261.2</v>
      </c>
      <c r="K34" s="20"/>
      <c r="U34" s="107"/>
    </row>
    <row r="35" spans="1:21" ht="14.5">
      <c r="A35" s="20" t="s">
        <v>140</v>
      </c>
      <c r="B35" s="20" t="s">
        <v>141</v>
      </c>
      <c r="C35" s="19">
        <v>6</v>
      </c>
      <c r="D35" s="5">
        <v>44914</v>
      </c>
      <c r="E35" s="19">
        <v>92.82</v>
      </c>
      <c r="F35" s="19">
        <v>556.91999999999996</v>
      </c>
      <c r="G35" s="18">
        <v>45357</v>
      </c>
      <c r="H35" s="19">
        <v>145.25</v>
      </c>
      <c r="I35" s="19">
        <v>871.5</v>
      </c>
      <c r="J35" s="19">
        <v>314.58</v>
      </c>
      <c r="K35" s="20"/>
      <c r="U35" s="107"/>
    </row>
    <row r="36" spans="1:21" ht="14.5">
      <c r="A36" s="20" t="s">
        <v>140</v>
      </c>
      <c r="B36" s="20" t="s">
        <v>141</v>
      </c>
      <c r="C36" s="19">
        <v>10</v>
      </c>
      <c r="D36" s="5">
        <v>44960</v>
      </c>
      <c r="E36" s="19">
        <v>99.96</v>
      </c>
      <c r="F36" s="19">
        <v>999.6</v>
      </c>
      <c r="G36" s="18">
        <v>45357</v>
      </c>
      <c r="H36" s="19">
        <v>145.25</v>
      </c>
      <c r="I36" s="19">
        <v>1452.5</v>
      </c>
      <c r="J36" s="19">
        <v>452.9</v>
      </c>
      <c r="K36" s="6">
        <f ca="1">IFERROR(__xludf.DUMMYFUNCTION("(-SUM(F28:F44)+SUM(I28:I44))"),7381.33999999999)</f>
        <v>7381.3399999999901</v>
      </c>
      <c r="L36" s="108" t="s">
        <v>142</v>
      </c>
      <c r="U36" s="107"/>
    </row>
    <row r="37" spans="1:21" ht="14.5">
      <c r="A37" s="20" t="s">
        <v>140</v>
      </c>
      <c r="B37" s="20" t="s">
        <v>141</v>
      </c>
      <c r="C37" s="19">
        <v>9</v>
      </c>
      <c r="D37" s="5">
        <v>44965</v>
      </c>
      <c r="E37" s="19">
        <v>102.01</v>
      </c>
      <c r="F37" s="19">
        <v>918.09</v>
      </c>
      <c r="G37" s="18">
        <v>45357</v>
      </c>
      <c r="H37" s="19">
        <v>145.25</v>
      </c>
      <c r="I37" s="19">
        <v>1307.25</v>
      </c>
      <c r="J37" s="19">
        <v>389.16</v>
      </c>
      <c r="K37" s="84">
        <f ca="1">IFERROR(__xludf.DUMMYFUNCTION("(-SUM(F28:F37)+SUM(I28:I37))/SUM(F28:F37)"),0.50675739196115)</f>
        <v>0.50675739196114999</v>
      </c>
      <c r="L37" s="108" t="s">
        <v>143</v>
      </c>
      <c r="U37" s="107"/>
    </row>
    <row r="38" spans="1:21" ht="14.5">
      <c r="A38" s="109" t="s">
        <v>140</v>
      </c>
      <c r="B38" s="20" t="s">
        <v>144</v>
      </c>
      <c r="C38" s="20">
        <v>60</v>
      </c>
      <c r="D38" s="5">
        <v>45498</v>
      </c>
      <c r="E38" s="20">
        <v>159.16999999999999</v>
      </c>
      <c r="F38" s="20">
        <v>9550.2000000000007</v>
      </c>
      <c r="G38" s="110">
        <f t="shared" ref="G38:G44" ca="1" si="1">TODAY()</f>
        <v>45862</v>
      </c>
      <c r="H38" s="109">
        <f ca="1">IFERROR(__xludf.DUMMYFUNCTION("GOOGLEFINANCE(""MON100"")"),200.41)</f>
        <v>200.41</v>
      </c>
      <c r="I38" s="109">
        <f t="shared" ref="I38:I44" ca="1" si="2">C38*H38</f>
        <v>12024.6</v>
      </c>
      <c r="J38" s="109">
        <f t="shared" ref="J38:J45" ca="1" si="3">I38-F38</f>
        <v>2474.3999999999996</v>
      </c>
      <c r="K38" s="20"/>
    </row>
    <row r="39" spans="1:21" ht="14.5">
      <c r="A39" s="109" t="s">
        <v>140</v>
      </c>
      <c r="B39" s="6" t="s">
        <v>141</v>
      </c>
      <c r="C39" s="6">
        <v>33</v>
      </c>
      <c r="D39" s="7">
        <v>45523</v>
      </c>
      <c r="E39" s="6">
        <v>159.69</v>
      </c>
      <c r="F39" s="6">
        <v>5269.77</v>
      </c>
      <c r="G39" s="110">
        <f t="shared" ca="1" si="1"/>
        <v>45862</v>
      </c>
      <c r="H39" s="109">
        <f ca="1">IFERROR(__xludf.DUMMYFUNCTION("GOOGLEFINANCE(""MON100"")"),200.41)</f>
        <v>200.41</v>
      </c>
      <c r="I39" s="109">
        <f t="shared" ca="1" si="2"/>
        <v>6613.53</v>
      </c>
      <c r="J39" s="109">
        <f t="shared" ca="1" si="3"/>
        <v>1343.7599999999993</v>
      </c>
    </row>
    <row r="40" spans="1:21" ht="14.5">
      <c r="A40" s="109" t="s">
        <v>140</v>
      </c>
      <c r="B40" s="6" t="s">
        <v>141</v>
      </c>
      <c r="C40" s="6">
        <v>7</v>
      </c>
      <c r="D40" s="7">
        <v>45741</v>
      </c>
      <c r="E40" s="6">
        <v>186.06</v>
      </c>
      <c r="F40" s="6">
        <v>1302.42</v>
      </c>
      <c r="G40" s="110">
        <f t="shared" ca="1" si="1"/>
        <v>45862</v>
      </c>
      <c r="H40" s="109">
        <f ca="1">IFERROR(__xludf.DUMMYFUNCTION("GOOGLEFINANCE(""MON100"")"),200.41)</f>
        <v>200.41</v>
      </c>
      <c r="I40" s="109">
        <f t="shared" ca="1" si="2"/>
        <v>1402.87</v>
      </c>
      <c r="J40" s="109">
        <f t="shared" ca="1" si="3"/>
        <v>100.44999999999982</v>
      </c>
    </row>
    <row r="41" spans="1:21" ht="14.5">
      <c r="A41" s="109" t="s">
        <v>140</v>
      </c>
      <c r="B41" s="6" t="s">
        <v>141</v>
      </c>
      <c r="C41" s="6">
        <v>3</v>
      </c>
      <c r="D41" s="7">
        <v>45764</v>
      </c>
      <c r="E41" s="6">
        <v>164.48</v>
      </c>
      <c r="F41" s="6">
        <v>493.44</v>
      </c>
      <c r="G41" s="110">
        <f t="shared" ca="1" si="1"/>
        <v>45862</v>
      </c>
      <c r="H41" s="109">
        <f ca="1">IFERROR(__xludf.DUMMYFUNCTION("GOOGLEFINANCE(""MON100"")"),200.41)</f>
        <v>200.41</v>
      </c>
      <c r="I41" s="109">
        <f t="shared" ca="1" si="2"/>
        <v>601.23</v>
      </c>
      <c r="J41" s="109">
        <f t="shared" ca="1" si="3"/>
        <v>107.79000000000002</v>
      </c>
    </row>
    <row r="42" spans="1:21" ht="14.5">
      <c r="A42" s="109" t="s">
        <v>140</v>
      </c>
      <c r="B42" s="6" t="s">
        <v>141</v>
      </c>
      <c r="C42" s="6">
        <v>8</v>
      </c>
      <c r="D42" s="7">
        <v>45817</v>
      </c>
      <c r="E42" s="6">
        <v>181.78</v>
      </c>
      <c r="F42" s="6">
        <v>1454.24</v>
      </c>
      <c r="G42" s="110">
        <f t="shared" ca="1" si="1"/>
        <v>45862</v>
      </c>
      <c r="H42" s="109">
        <f ca="1">IFERROR(__xludf.DUMMYFUNCTION("GOOGLEFINANCE(""MON100"")"),200.41)</f>
        <v>200.41</v>
      </c>
      <c r="I42" s="109">
        <f t="shared" ca="1" si="2"/>
        <v>1603.28</v>
      </c>
      <c r="J42" s="109">
        <f t="shared" ca="1" si="3"/>
        <v>149.03999999999996</v>
      </c>
    </row>
    <row r="43" spans="1:21" ht="14.5">
      <c r="A43" s="109" t="s">
        <v>140</v>
      </c>
      <c r="B43" s="6" t="s">
        <v>141</v>
      </c>
      <c r="C43" s="6">
        <v>3</v>
      </c>
      <c r="D43" s="7">
        <v>45825</v>
      </c>
      <c r="E43" s="6">
        <v>181.79</v>
      </c>
      <c r="F43" s="6">
        <v>545.37</v>
      </c>
      <c r="G43" s="110">
        <f t="shared" ca="1" si="1"/>
        <v>45862</v>
      </c>
      <c r="H43" s="109">
        <f ca="1">IFERROR(__xludf.DUMMYFUNCTION("GOOGLEFINANCE(""MON100"")"),200.41)</f>
        <v>200.41</v>
      </c>
      <c r="I43" s="109">
        <f t="shared" ca="1" si="2"/>
        <v>601.23</v>
      </c>
      <c r="J43" s="109">
        <f t="shared" ca="1" si="3"/>
        <v>55.860000000000014</v>
      </c>
    </row>
    <row r="44" spans="1:21" ht="14.5">
      <c r="A44" s="109" t="s">
        <v>140</v>
      </c>
      <c r="B44" s="6" t="s">
        <v>141</v>
      </c>
      <c r="C44" s="6">
        <v>3</v>
      </c>
      <c r="D44" s="7">
        <v>45854</v>
      </c>
      <c r="E44" s="6">
        <v>192.54999999999998</v>
      </c>
      <c r="F44" s="6">
        <v>577.65</v>
      </c>
      <c r="G44" s="110">
        <f t="shared" ca="1" si="1"/>
        <v>45862</v>
      </c>
      <c r="H44" s="109">
        <f ca="1">IFERROR(__xludf.DUMMYFUNCTION("GOOGLEFINANCE(""MON100"")"),200.41)</f>
        <v>200.41</v>
      </c>
      <c r="I44" s="109">
        <f t="shared" ca="1" si="2"/>
        <v>601.23</v>
      </c>
      <c r="J44" s="109">
        <f t="shared" ca="1" si="3"/>
        <v>23.580000000000041</v>
      </c>
    </row>
    <row r="45" spans="1:21" ht="14.5">
      <c r="A45" s="97" t="s">
        <v>145</v>
      </c>
      <c r="B45" s="104"/>
      <c r="C45" s="104"/>
      <c r="D45" s="104"/>
      <c r="E45" s="104"/>
      <c r="F45" s="104">
        <f>SUM(F38:F44)</f>
        <v>19193.090000000004</v>
      </c>
      <c r="G45" s="104"/>
      <c r="H45" s="104"/>
      <c r="I45" s="104">
        <f ca="1">SUM(I38:I44)</f>
        <v>23447.969999999998</v>
      </c>
      <c r="J45" s="104">
        <f t="shared" ca="1" si="3"/>
        <v>4254.8799999999937</v>
      </c>
      <c r="K45" s="20"/>
    </row>
    <row r="46" spans="1:21" ht="14.5">
      <c r="A46" s="20"/>
      <c r="B46" s="20"/>
      <c r="C46" s="20"/>
      <c r="D46" s="20"/>
      <c r="E46" s="20"/>
      <c r="F46" s="20"/>
      <c r="G46" s="20"/>
      <c r="H46" s="20"/>
      <c r="I46" s="104" t="s">
        <v>139</v>
      </c>
      <c r="J46" s="111">
        <f ca="1">J45/F45</f>
        <v>0.22168811796328747</v>
      </c>
      <c r="K46" s="20"/>
    </row>
    <row r="47" spans="1:21" ht="14.5">
      <c r="A47" s="112"/>
      <c r="B47" s="112"/>
      <c r="C47" s="112"/>
      <c r="E47" s="106"/>
      <c r="F47" s="106"/>
      <c r="G47" s="106"/>
      <c r="H47" s="106"/>
      <c r="I47" s="106"/>
      <c r="J47" s="106"/>
      <c r="K47" s="106"/>
    </row>
    <row r="48" spans="1:21" ht="15.5">
      <c r="A48" s="130" t="s">
        <v>146</v>
      </c>
      <c r="B48" s="131"/>
      <c r="C48" s="124"/>
      <c r="E48" s="130" t="s">
        <v>147</v>
      </c>
      <c r="F48" s="131"/>
      <c r="G48" s="124"/>
      <c r="H48" s="106"/>
      <c r="I48" s="106"/>
      <c r="J48" s="106"/>
      <c r="K48" s="106"/>
    </row>
    <row r="49" spans="1:11" ht="14.5">
      <c r="A49" s="70" t="s">
        <v>148</v>
      </c>
      <c r="B49" s="70" t="s">
        <v>35</v>
      </c>
      <c r="C49" s="112"/>
      <c r="E49" s="70" t="s">
        <v>148</v>
      </c>
      <c r="F49" s="70" t="s">
        <v>35</v>
      </c>
      <c r="G49" s="106"/>
      <c r="H49" s="106"/>
      <c r="I49" s="70" t="s">
        <v>73</v>
      </c>
      <c r="J49" s="70" t="s">
        <v>74</v>
      </c>
      <c r="K49" s="70" t="s">
        <v>75</v>
      </c>
    </row>
    <row r="50" spans="1:11" ht="14.5">
      <c r="A50" s="5">
        <v>44741</v>
      </c>
      <c r="B50" s="19">
        <v>-721.6</v>
      </c>
      <c r="E50" s="7">
        <v>44376</v>
      </c>
      <c r="F50" s="17">
        <v>-3830</v>
      </c>
      <c r="G50" s="20"/>
      <c r="H50" s="20"/>
      <c r="I50" s="6">
        <f>SUM(F28:F44)</f>
        <v>25362.63</v>
      </c>
      <c r="J50" s="6">
        <f>SUM(I28:I37)</f>
        <v>9296</v>
      </c>
      <c r="K50" s="45">
        <f ca="1">I45</f>
        <v>23447.969999999998</v>
      </c>
    </row>
    <row r="51" spans="1:11" ht="14.5">
      <c r="A51" s="5">
        <v>44750</v>
      </c>
      <c r="B51" s="19">
        <v>-469.9</v>
      </c>
      <c r="E51" s="7">
        <v>44393</v>
      </c>
      <c r="F51" s="17">
        <v>-499</v>
      </c>
      <c r="G51" s="20"/>
      <c r="H51" s="20"/>
      <c r="I51" s="20"/>
      <c r="J51" s="20"/>
      <c r="K51" s="20"/>
    </row>
    <row r="52" spans="1:11" ht="14.5">
      <c r="A52" s="5">
        <v>44760</v>
      </c>
      <c r="B52" s="19">
        <v>-566.28</v>
      </c>
      <c r="E52" s="7">
        <v>44424</v>
      </c>
      <c r="F52" s="17">
        <v>-499</v>
      </c>
      <c r="G52" s="20"/>
      <c r="H52" s="20"/>
      <c r="I52" s="20"/>
      <c r="J52" s="20"/>
      <c r="K52" s="20"/>
    </row>
    <row r="53" spans="1:11" ht="14.5">
      <c r="A53" s="5">
        <v>44792</v>
      </c>
      <c r="B53" s="19">
        <v>-523.1</v>
      </c>
      <c r="E53" s="7">
        <v>44454</v>
      </c>
      <c r="F53" s="17">
        <v>-499</v>
      </c>
      <c r="G53" s="20"/>
      <c r="H53" s="20"/>
      <c r="I53" s="20"/>
      <c r="J53" s="20"/>
      <c r="K53" s="20"/>
    </row>
    <row r="54" spans="1:11" ht="14.5">
      <c r="A54" s="5">
        <v>44816</v>
      </c>
      <c r="B54" s="19">
        <v>-491.65</v>
      </c>
      <c r="E54" s="7">
        <v>44487</v>
      </c>
      <c r="F54" s="17">
        <v>-499</v>
      </c>
    </row>
    <row r="55" spans="1:11" ht="14.5">
      <c r="A55" s="5">
        <v>44844</v>
      </c>
      <c r="B55" s="19">
        <v>-457.35</v>
      </c>
      <c r="E55" s="7">
        <v>44515</v>
      </c>
      <c r="F55" s="17">
        <v>-499</v>
      </c>
    </row>
    <row r="56" spans="1:11" ht="14.5">
      <c r="A56" s="5">
        <v>44882</v>
      </c>
      <c r="B56" s="19">
        <v>-465.05</v>
      </c>
      <c r="E56" s="7">
        <v>44545</v>
      </c>
      <c r="F56" s="17">
        <v>-499</v>
      </c>
    </row>
    <row r="57" spans="1:11" ht="14.5">
      <c r="A57" s="5">
        <v>44914</v>
      </c>
      <c r="B57" s="19">
        <v>-556.91999999999996</v>
      </c>
      <c r="E57" s="7">
        <v>44578</v>
      </c>
      <c r="F57" s="17">
        <v>-499</v>
      </c>
    </row>
    <row r="58" spans="1:11" ht="14.5">
      <c r="A58" s="5">
        <v>44960</v>
      </c>
      <c r="B58" s="19">
        <v>-999.6</v>
      </c>
      <c r="E58" s="7">
        <v>44607</v>
      </c>
      <c r="F58" s="17">
        <v>-499</v>
      </c>
    </row>
    <row r="59" spans="1:11" ht="14.5">
      <c r="A59" s="5">
        <v>44965</v>
      </c>
      <c r="B59" s="19">
        <v>-918.09</v>
      </c>
      <c r="E59" s="7">
        <v>44635</v>
      </c>
      <c r="F59" s="17">
        <v>-499</v>
      </c>
    </row>
    <row r="60" spans="1:11" ht="14.5">
      <c r="A60" s="5">
        <v>45357</v>
      </c>
      <c r="B60" s="6">
        <v>9296</v>
      </c>
      <c r="C60" s="6" t="str">
        <f>"PROFIT TILL " &amp; SUM(B50:B60)</f>
        <v>PROFIT TILL 3126.46</v>
      </c>
      <c r="E60" s="5">
        <v>44741</v>
      </c>
      <c r="F60" s="19">
        <v>-721.6</v>
      </c>
    </row>
    <row r="61" spans="1:11" ht="14.5">
      <c r="A61" s="5">
        <v>45498</v>
      </c>
      <c r="B61" s="20">
        <v>-9550.2000000000007</v>
      </c>
      <c r="E61" s="5">
        <v>44750</v>
      </c>
      <c r="F61" s="19">
        <v>-469.9</v>
      </c>
    </row>
    <row r="62" spans="1:11" ht="14.5">
      <c r="A62" s="7">
        <v>45523</v>
      </c>
      <c r="B62" s="6">
        <v>-5269.77</v>
      </c>
      <c r="E62" s="5">
        <v>44760</v>
      </c>
      <c r="F62" s="19">
        <v>-566.28</v>
      </c>
    </row>
    <row r="63" spans="1:11" ht="14.5">
      <c r="A63" s="7">
        <v>45741</v>
      </c>
      <c r="B63" s="6">
        <v>1302.42</v>
      </c>
      <c r="E63" s="5">
        <v>44792</v>
      </c>
      <c r="F63" s="19">
        <v>-523.1</v>
      </c>
    </row>
    <row r="64" spans="1:11" ht="14.5">
      <c r="A64" s="7">
        <v>45764</v>
      </c>
      <c r="B64" s="6">
        <v>493.44</v>
      </c>
      <c r="E64" s="5">
        <v>44816</v>
      </c>
      <c r="F64" s="19">
        <v>-491.65</v>
      </c>
    </row>
    <row r="65" spans="1:11" ht="14.5">
      <c r="A65" s="7">
        <v>45817</v>
      </c>
      <c r="B65" s="6">
        <v>1454.24</v>
      </c>
      <c r="E65" s="5">
        <v>44844</v>
      </c>
      <c r="F65" s="19">
        <v>-457.35</v>
      </c>
    </row>
    <row r="66" spans="1:11" ht="14.5">
      <c r="A66" s="7">
        <v>45825</v>
      </c>
      <c r="B66" s="6">
        <v>545.37</v>
      </c>
      <c r="E66" s="5">
        <v>44882</v>
      </c>
      <c r="F66" s="19">
        <v>-465.05</v>
      </c>
      <c r="G66" s="20"/>
      <c r="H66" s="20"/>
      <c r="I66" s="20"/>
      <c r="J66" s="20"/>
      <c r="K66" s="20"/>
    </row>
    <row r="67" spans="1:11" ht="14.5">
      <c r="A67" s="7">
        <v>45854</v>
      </c>
      <c r="B67" s="6">
        <v>577.65</v>
      </c>
      <c r="E67" s="5">
        <v>44914</v>
      </c>
      <c r="F67" s="19">
        <v>-556.91999999999996</v>
      </c>
      <c r="G67" s="20"/>
      <c r="H67" s="20"/>
      <c r="I67" s="20"/>
      <c r="J67" s="20"/>
      <c r="K67" s="20"/>
    </row>
    <row r="68" spans="1:11" ht="14.5">
      <c r="A68" s="113">
        <f ca="1">TODAY()</f>
        <v>45862</v>
      </c>
      <c r="B68" s="114">
        <f ca="1">SUM(I38:I44)</f>
        <v>23447.969999999998</v>
      </c>
      <c r="D68" s="15"/>
      <c r="E68" s="7">
        <v>44942</v>
      </c>
      <c r="F68" s="17">
        <v>-499</v>
      </c>
      <c r="G68" s="15"/>
    </row>
    <row r="69" spans="1:11" ht="14.5">
      <c r="A69" s="115" t="s">
        <v>21</v>
      </c>
      <c r="B69" s="116">
        <f ca="1">XIRR(B50:B68,A50:A68)</f>
        <v>0.5989265620708466</v>
      </c>
      <c r="D69" s="15"/>
      <c r="E69" s="5">
        <v>44960</v>
      </c>
      <c r="F69" s="19">
        <v>-999.6</v>
      </c>
      <c r="G69" s="15"/>
    </row>
    <row r="70" spans="1:11" ht="14.5">
      <c r="E70" s="5">
        <v>44965</v>
      </c>
      <c r="F70" s="19">
        <v>-918.09</v>
      </c>
    </row>
    <row r="71" spans="1:11" ht="12.5">
      <c r="E71" s="7">
        <v>44972</v>
      </c>
      <c r="F71" s="17">
        <v>-499</v>
      </c>
    </row>
    <row r="72" spans="1:11" ht="12.5">
      <c r="E72" s="7">
        <v>45000</v>
      </c>
      <c r="F72" s="17">
        <v>-499</v>
      </c>
    </row>
    <row r="73" spans="1:11" ht="12.5">
      <c r="E73" s="7">
        <v>45033</v>
      </c>
      <c r="F73" s="17">
        <v>-499</v>
      </c>
    </row>
    <row r="74" spans="1:11" ht="12.5">
      <c r="E74" s="7">
        <v>45061</v>
      </c>
      <c r="F74" s="17">
        <v>-499</v>
      </c>
    </row>
    <row r="75" spans="1:11" ht="12.5">
      <c r="E75" s="7">
        <v>45092</v>
      </c>
      <c r="F75" s="17">
        <v>-499</v>
      </c>
    </row>
    <row r="76" spans="1:11" ht="12.5">
      <c r="E76" s="7">
        <v>45124</v>
      </c>
      <c r="F76" s="17">
        <v>-499</v>
      </c>
    </row>
    <row r="77" spans="1:11" ht="12.5">
      <c r="E77" s="7">
        <v>45154</v>
      </c>
      <c r="F77" s="17">
        <v>-499</v>
      </c>
    </row>
    <row r="78" spans="1:11" ht="12.5">
      <c r="E78" s="7">
        <v>45184</v>
      </c>
      <c r="F78" s="17">
        <v>-499</v>
      </c>
    </row>
    <row r="79" spans="1:11" ht="12.5">
      <c r="E79" s="7">
        <v>45215</v>
      </c>
      <c r="F79" s="17">
        <v>-499</v>
      </c>
    </row>
    <row r="80" spans="1:11" ht="12.5">
      <c r="E80" s="7">
        <v>45245</v>
      </c>
      <c r="F80" s="17">
        <v>-499</v>
      </c>
    </row>
    <row r="81" spans="5:6" ht="12.5">
      <c r="E81" s="7">
        <v>45275</v>
      </c>
      <c r="F81" s="17">
        <v>-499</v>
      </c>
    </row>
    <row r="82" spans="5:6" ht="12.5">
      <c r="E82" s="7">
        <v>45306</v>
      </c>
      <c r="F82" s="17">
        <v>-499</v>
      </c>
    </row>
    <row r="83" spans="5:6" ht="12.5">
      <c r="E83" s="7">
        <v>45337</v>
      </c>
      <c r="F83" s="17">
        <v>-499</v>
      </c>
    </row>
    <row r="84" spans="5:6" ht="14.5">
      <c r="E84" s="5">
        <v>45357</v>
      </c>
      <c r="F84" s="6">
        <v>9296</v>
      </c>
    </row>
    <row r="85" spans="5:6" ht="12.5">
      <c r="E85" s="7">
        <v>45358</v>
      </c>
      <c r="F85" s="17">
        <v>19835</v>
      </c>
    </row>
    <row r="86" spans="5:6" ht="12.5">
      <c r="E86" s="7">
        <v>45366</v>
      </c>
      <c r="F86" s="17">
        <v>-499</v>
      </c>
    </row>
    <row r="87" spans="5:6" ht="12.5">
      <c r="E87" s="7">
        <v>45397</v>
      </c>
      <c r="F87" s="17">
        <v>-499</v>
      </c>
    </row>
    <row r="88" spans="5:6" ht="12.5">
      <c r="E88" s="7">
        <v>45428</v>
      </c>
      <c r="F88" s="17">
        <v>-499</v>
      </c>
    </row>
    <row r="89" spans="5:6" ht="12.5">
      <c r="E89" s="7">
        <v>45462</v>
      </c>
      <c r="F89" s="17">
        <v>-499</v>
      </c>
    </row>
    <row r="90" spans="5:6" ht="14.5">
      <c r="E90" s="21">
        <v>45489</v>
      </c>
      <c r="F90" s="17">
        <v>-499</v>
      </c>
    </row>
    <row r="91" spans="5:6" ht="14.5">
      <c r="E91" s="5">
        <v>45498</v>
      </c>
      <c r="F91" s="20">
        <v>-9550.2000000000007</v>
      </c>
    </row>
    <row r="92" spans="5:6" ht="12.5">
      <c r="E92" s="7">
        <v>45520</v>
      </c>
      <c r="F92" s="6">
        <v>-499</v>
      </c>
    </row>
    <row r="93" spans="5:6" ht="12.5">
      <c r="E93" s="7">
        <v>45523</v>
      </c>
      <c r="F93" s="6">
        <v>-5269.77</v>
      </c>
    </row>
    <row r="94" spans="5:6" ht="12.5">
      <c r="E94" s="7">
        <v>45741</v>
      </c>
      <c r="F94" s="6">
        <v>1302.42</v>
      </c>
    </row>
    <row r="95" spans="5:6" ht="12.5">
      <c r="E95" s="7">
        <v>45764</v>
      </c>
      <c r="F95" s="6">
        <v>493.44</v>
      </c>
    </row>
    <row r="96" spans="5:6" ht="12.5">
      <c r="E96" s="7">
        <v>45817</v>
      </c>
      <c r="F96" s="6">
        <v>1454.24</v>
      </c>
    </row>
    <row r="97" spans="5:6" ht="12.5">
      <c r="E97" s="7">
        <v>45825</v>
      </c>
      <c r="F97" s="6">
        <v>545.37</v>
      </c>
    </row>
    <row r="98" spans="5:6" ht="12.5">
      <c r="E98" s="7">
        <v>45854</v>
      </c>
      <c r="F98" s="6">
        <v>577.65</v>
      </c>
    </row>
    <row r="99" spans="5:6" ht="14.5">
      <c r="E99" s="117">
        <f t="shared" ref="E99:E100" ca="1" si="4">TODAY()</f>
        <v>45862</v>
      </c>
      <c r="F99" s="118">
        <f ca="1">SUM(I38:I44)</f>
        <v>23447.969999999998</v>
      </c>
    </row>
    <row r="100" spans="5:6" ht="12.5">
      <c r="E100" s="119">
        <f t="shared" ca="1" si="4"/>
        <v>45862</v>
      </c>
      <c r="F100" s="120">
        <f ca="1">'MF holdings and transactions'!K302</f>
        <v>6075.8702000000012</v>
      </c>
    </row>
    <row r="102" spans="5:6" ht="14.5">
      <c r="E102" s="115" t="s">
        <v>21</v>
      </c>
      <c r="F102" s="116">
        <f ca="1">XIRR(F50:F100,E50:E100)</f>
        <v>0.35713415741920473</v>
      </c>
    </row>
  </sheetData>
  <autoFilter ref="E49:F100" xr:uid="{00000000-0009-0000-0000-000003000000}">
    <sortState xmlns:xlrd2="http://schemas.microsoft.com/office/spreadsheetml/2017/richdata2" ref="E49:F100">
      <sortCondition ref="E49:E100"/>
    </sortState>
  </autoFilter>
  <mergeCells count="2">
    <mergeCell ref="A48:C48"/>
    <mergeCell ref="E48:G48"/>
  </mergeCells>
  <conditionalFormatting sqref="A1 A8 A25 A48 E48">
    <cfRule type="cellIs" dxfId="2" priority="1" operator="equal">
      <formula>"REDEEM"</formula>
    </cfRule>
    <cfRule type="cellIs" dxfId="1" priority="2" operator="equal">
      <formula>"PURCHASE"</formula>
    </cfRule>
    <cfRule type="containsText" dxfId="0" priority="3" operator="containsText" text="SWITCH">
      <formula>NOT(ISERROR(SEARCH(("SWITCH"),(A1))))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  Holdings</vt:lpstr>
      <vt:lpstr>MF holdings and transactions</vt:lpstr>
      <vt:lpstr>MF CAS</vt:lpstr>
      <vt:lpstr>Stocks 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 Singh</cp:lastModifiedBy>
  <dcterms:modified xsi:type="dcterms:W3CDTF">2025-07-24T07:17:07Z</dcterms:modified>
</cp:coreProperties>
</file>